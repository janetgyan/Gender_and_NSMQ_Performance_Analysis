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ophia Gyan\Downloads\"/>
    </mc:Choice>
  </mc:AlternateContent>
  <xr:revisionPtr revIDLastSave="0" documentId="13_ncr:1_{B066A7D2-36BF-4D8D-B9DD-6BFA5A9D1522}" xr6:coauthVersionLast="47" xr6:coauthVersionMax="47" xr10:uidLastSave="{00000000-0000-0000-0000-000000000000}"/>
  <bookViews>
    <workbookView xWindow="0" yWindow="1005" windowWidth="20145" windowHeight="9090" activeTab="2" xr2:uid="{6DF7C258-F5F6-47CB-901D-7A9110242E54}"/>
  </bookViews>
  <sheets>
    <sheet name="NSMQ DATA" sheetId="1" r:id="rId1"/>
    <sheet name="PIVOT SUMMARY" sheetId="9" r:id="rId2"/>
    <sheet name="DASHBOARD" sheetId="13" r:id="rId3"/>
    <sheet name="StatTests" sheetId="5" r:id="rId4"/>
  </sheets>
  <definedNames>
    <definedName name="Slicer_Gender">#N/A</definedName>
    <definedName name="Slicer_Region">#N/A</definedName>
    <definedName name="Slicer_Stag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2"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3" i="1"/>
  <c r="J4" i="1"/>
  <c r="J5" i="1"/>
  <c r="J6" i="1"/>
  <c r="J7" i="1"/>
  <c r="J8" i="1"/>
  <c r="J9" i="1"/>
  <c r="J10" i="1"/>
  <c r="J11" i="1"/>
  <c r="J12" i="1"/>
  <c r="J13" i="1"/>
  <c r="J14" i="1"/>
  <c r="J15" i="1"/>
  <c r="J16" i="1"/>
  <c r="J17" i="1"/>
  <c r="J18" i="1"/>
  <c r="J19" i="1"/>
  <c r="J20" i="1"/>
  <c r="J21" i="1"/>
  <c r="J22" i="1"/>
  <c r="J23" i="1"/>
  <c r="J24" i="1"/>
  <c r="J2" i="1"/>
  <c r="E2" i="5" l="1"/>
  <c r="F2" i="5"/>
  <c r="F3" i="5"/>
  <c r="E3" i="5"/>
  <c r="F4" i="5"/>
  <c r="E4" i="5"/>
  <c r="G4" i="5" s="1"/>
  <c r="G3" i="5" l="1"/>
  <c r="H3" i="5"/>
  <c r="F5" i="5"/>
  <c r="E5" i="5"/>
  <c r="G5" i="5" s="1"/>
  <c r="H4" i="5" s="1"/>
  <c r="G2" i="5"/>
  <c r="H2" i="5"/>
  <c r="K2" i="5" l="1"/>
  <c r="I4" i="5"/>
  <c r="I2" i="5"/>
  <c r="I3" i="5"/>
</calcChain>
</file>

<file path=xl/sharedStrings.xml><?xml version="1.0" encoding="utf-8"?>
<sst xmlns="http://schemas.openxmlformats.org/spreadsheetml/2006/main" count="5530" uniqueCount="806">
  <si>
    <t>School</t>
  </si>
  <si>
    <t>Full name</t>
  </si>
  <si>
    <t>Region</t>
  </si>
  <si>
    <t>Gender</t>
  </si>
  <si>
    <t>Stage</t>
  </si>
  <si>
    <t>Points</t>
  </si>
  <si>
    <t>Contest Position</t>
  </si>
  <si>
    <t>Year</t>
  </si>
  <si>
    <t>Stage Name</t>
  </si>
  <si>
    <t>Win Flag</t>
  </si>
  <si>
    <t>Presec Legon</t>
  </si>
  <si>
    <t>Presbyterian Boys' Senior High School</t>
  </si>
  <si>
    <t>Greater Accra</t>
  </si>
  <si>
    <t>Boys</t>
  </si>
  <si>
    <t>2023_1.0_Presec Legon</t>
  </si>
  <si>
    <t>Achimota</t>
  </si>
  <si>
    <t>Achimota School</t>
  </si>
  <si>
    <t>Mixed</t>
  </si>
  <si>
    <t>Owass</t>
  </si>
  <si>
    <t>Opoku Ware Senior High School</t>
  </si>
  <si>
    <t>Ashanti</t>
  </si>
  <si>
    <t>2023_0.5_Presec Legon</t>
  </si>
  <si>
    <t>Mfantsipim</t>
  </si>
  <si>
    <t>Mfantsipim School</t>
  </si>
  <si>
    <t>Central</t>
  </si>
  <si>
    <t>Keta</t>
  </si>
  <si>
    <t>Keta Senior High Technical School</t>
  </si>
  <si>
    <t>Volta</t>
  </si>
  <si>
    <t>2023_0.5_Achimota</t>
  </si>
  <si>
    <t>Wegehey</t>
  </si>
  <si>
    <t>Wesley Girls' Senior High School</t>
  </si>
  <si>
    <t>Girls</t>
  </si>
  <si>
    <t>St. Louis</t>
  </si>
  <si>
    <t>St. Louis Senior High School</t>
  </si>
  <si>
    <t>2023_0.5_Owass</t>
  </si>
  <si>
    <t>Prempeh</t>
  </si>
  <si>
    <t>Prempeh College</t>
  </si>
  <si>
    <t>PJ</t>
  </si>
  <si>
    <t>Pope John Senior High School and Minor Seminary</t>
  </si>
  <si>
    <t>Eastern</t>
  </si>
  <si>
    <t>2023_0.25_Prempeh</t>
  </si>
  <si>
    <t>Mawuli</t>
  </si>
  <si>
    <t>Mawuli School</t>
  </si>
  <si>
    <t>Presec Abetifi</t>
  </si>
  <si>
    <t>Abetifi Presbyterian Senior High School</t>
  </si>
  <si>
    <t>2023_0.25_Presec Legon</t>
  </si>
  <si>
    <t>Accra Aca</t>
  </si>
  <si>
    <t>Accra Academy</t>
  </si>
  <si>
    <t>GSTS</t>
  </si>
  <si>
    <t>Ghana Secondary Technical School</t>
  </si>
  <si>
    <t>Western</t>
  </si>
  <si>
    <t>2023_0.25_Achimota</t>
  </si>
  <si>
    <t>Kuhis</t>
  </si>
  <si>
    <t>Kumasi High School</t>
  </si>
  <si>
    <t>OKESS</t>
  </si>
  <si>
    <t>Osei Kyeretwie Senior High School</t>
  </si>
  <si>
    <t>2023_0.25_Owass</t>
  </si>
  <si>
    <t>Osei Tutu</t>
  </si>
  <si>
    <t>Osei Tutu Senior High School</t>
  </si>
  <si>
    <t>St Johns School</t>
  </si>
  <si>
    <t>St. John's School, Sekondi</t>
  </si>
  <si>
    <t>2023_0.25_St. Louis</t>
  </si>
  <si>
    <t>KASS</t>
  </si>
  <si>
    <t>Anglican Senior High School, Kumasi</t>
  </si>
  <si>
    <t>Wesley Grammar</t>
  </si>
  <si>
    <t>Wesley Grammar Senior High School</t>
  </si>
  <si>
    <t>2023_0.25_Wegehey</t>
  </si>
  <si>
    <t>Mpraeso</t>
  </si>
  <si>
    <t>Mpraeso Senior High School</t>
  </si>
  <si>
    <t>Biheco</t>
  </si>
  <si>
    <t>Bishop Herman College</t>
  </si>
  <si>
    <t>2023_0.25_PJ</t>
  </si>
  <si>
    <t>St. James</t>
  </si>
  <si>
    <t>St. James Seminary and Senior High School</t>
  </si>
  <si>
    <t>Bono</t>
  </si>
  <si>
    <t>Presby SHTS Aburi</t>
  </si>
  <si>
    <t>Aburi Presbyterian Senior High Technical School</t>
  </si>
  <si>
    <t>2023_0.25_Keta</t>
  </si>
  <si>
    <t>Tamale SHS</t>
  </si>
  <si>
    <t>Tamale SHS Senior High School</t>
  </si>
  <si>
    <t>Northern</t>
  </si>
  <si>
    <t>Augusco</t>
  </si>
  <si>
    <t>St. Augustine's College</t>
  </si>
  <si>
    <t>2023_0.25_Mfantsipim</t>
  </si>
  <si>
    <t>Yikrosec</t>
  </si>
  <si>
    <t>Yilo Krobo Senior High Community School</t>
  </si>
  <si>
    <t>Kumasi sectec</t>
  </si>
  <si>
    <t>Kumasi Senior High Technical School</t>
  </si>
  <si>
    <t>2023_0.125_Wegehey</t>
  </si>
  <si>
    <t>Porters</t>
  </si>
  <si>
    <t>Archbishop Porter Girls' Senior High School</t>
  </si>
  <si>
    <t>Ghanata</t>
  </si>
  <si>
    <t>Ghanata Senior High School</t>
  </si>
  <si>
    <t>2023_0.125_PJ</t>
  </si>
  <si>
    <t>Simms</t>
  </si>
  <si>
    <t>Simms Senior High School</t>
  </si>
  <si>
    <t>Sunyani SHS</t>
  </si>
  <si>
    <t>Sunyani Senior High School</t>
  </si>
  <si>
    <t>2023_0.125_OKESS</t>
  </si>
  <si>
    <t>St. Joseph Seminary</t>
  </si>
  <si>
    <t>St. Joseph Seminary Senior High School</t>
  </si>
  <si>
    <t>Notre Dame Girls</t>
  </si>
  <si>
    <t>Notre Dame Girls Senior High School</t>
  </si>
  <si>
    <t>2023_0.125_Kumasi sectec</t>
  </si>
  <si>
    <t>Chemu SHS</t>
  </si>
  <si>
    <t>Chemu Senior High School</t>
  </si>
  <si>
    <t>Obiri Yeboah</t>
  </si>
  <si>
    <t>Obiri Yeboah Senior High School</t>
  </si>
  <si>
    <t>2023_0.125_Kuhis</t>
  </si>
  <si>
    <t>Okuapeman</t>
  </si>
  <si>
    <t>Okuapeman Senior High School</t>
  </si>
  <si>
    <t>Anlo SHS</t>
  </si>
  <si>
    <t>Anlo Senior High School</t>
  </si>
  <si>
    <t>2023_0.125_GSTS</t>
  </si>
  <si>
    <t>Odorgonno</t>
  </si>
  <si>
    <t>Odorgonno Senior High School</t>
  </si>
  <si>
    <t>Xavier</t>
  </si>
  <si>
    <t>St Francis Xavier Mnior Seminary</t>
  </si>
  <si>
    <t>Upper West</t>
  </si>
  <si>
    <t>2023_0.125_Mawuli</t>
  </si>
  <si>
    <t>Amaniampong SHS</t>
  </si>
  <si>
    <t>Amaniampong Senior High School</t>
  </si>
  <si>
    <t>St. Catherine</t>
  </si>
  <si>
    <t>St. Catherine Girls Senior High</t>
  </si>
  <si>
    <t>2023_0.125_Owass</t>
  </si>
  <si>
    <t>Tamale Islamic Science</t>
  </si>
  <si>
    <t>Tamale Islamic Science Senior High</t>
  </si>
  <si>
    <t>Nifa SHS</t>
  </si>
  <si>
    <t>Nifa SHS Senior High School</t>
  </si>
  <si>
    <t>2023_0.125_Tamale SHS</t>
  </si>
  <si>
    <t>Ashaiman SHS</t>
  </si>
  <si>
    <t>Ashaiman Senior High School</t>
  </si>
  <si>
    <t>Krogiss</t>
  </si>
  <si>
    <t>Krobo Girls' Senior High School</t>
  </si>
  <si>
    <t>2023_0.125_Biheco</t>
  </si>
  <si>
    <t>Adidome SHS</t>
  </si>
  <si>
    <t>Adidome Senior High School</t>
  </si>
  <si>
    <t>Ola SHS</t>
  </si>
  <si>
    <t>OLA Girls' Senior High School</t>
  </si>
  <si>
    <t>2023_0.125_Mpraeso</t>
  </si>
  <si>
    <t>Ghana National</t>
  </si>
  <si>
    <t>Ghana National College</t>
  </si>
  <si>
    <t>Aggrey Memorial Zion SHS</t>
  </si>
  <si>
    <t>Aggrey Memorial AME Zion Senior High</t>
  </si>
  <si>
    <t>2023_0.125_Achimota</t>
  </si>
  <si>
    <t>Holico</t>
  </si>
  <si>
    <t>Holico Senior High School</t>
  </si>
  <si>
    <t>Assin State</t>
  </si>
  <si>
    <t>Assin State College</t>
  </si>
  <si>
    <t>2023_0.125_Wesley Grammar</t>
  </si>
  <si>
    <t>Tema Methodist</t>
  </si>
  <si>
    <t>Tema Methodist Day Secondary School</t>
  </si>
  <si>
    <t>Swedru SHS</t>
  </si>
  <si>
    <t>Swedru Senior High School</t>
  </si>
  <si>
    <t>2023_0.125_KASS</t>
  </si>
  <si>
    <t>Adventist Bantama</t>
  </si>
  <si>
    <t>Adventist Senior High School</t>
  </si>
  <si>
    <t>St Charles</t>
  </si>
  <si>
    <t>St. Charles Minor Seminary / Senior High School</t>
  </si>
  <si>
    <t>2023_0.125_St. Louis</t>
  </si>
  <si>
    <t>Adisco</t>
  </si>
  <si>
    <t>Adisadel College</t>
  </si>
  <si>
    <t>Abusco</t>
  </si>
  <si>
    <t>Abuakwa State College</t>
  </si>
  <si>
    <t>2023_0.125_Osei Tutu</t>
  </si>
  <si>
    <t>Unipra</t>
  </si>
  <si>
    <t>University Practice Senior High School</t>
  </si>
  <si>
    <t>Winneba SHS</t>
  </si>
  <si>
    <t>Winneba Senior High School</t>
  </si>
  <si>
    <t>2023_0.125_St Johns School</t>
  </si>
  <si>
    <t>St Mary's Boys'</t>
  </si>
  <si>
    <t>St Mary's Boys' Senior High School</t>
  </si>
  <si>
    <t>Ghana SHS Koforidua</t>
  </si>
  <si>
    <t>Ghana Senior High School, Koforidua</t>
  </si>
  <si>
    <t>2023_0.125_St. James</t>
  </si>
  <si>
    <t>Our Lady of Mt. Carmel Girls</t>
  </si>
  <si>
    <t>Our Lady of Mt. Carmel Girls Senior High School</t>
  </si>
  <si>
    <t>Bono East</t>
  </si>
  <si>
    <t>Aquinas</t>
  </si>
  <si>
    <t>St. Thomas Aquinas Senior High School</t>
  </si>
  <si>
    <t>2023_0.125_Presby SHTS Aburi</t>
  </si>
  <si>
    <t>KNUST SHS</t>
  </si>
  <si>
    <t>KNUST Senior High School</t>
  </si>
  <si>
    <t>TI Amass Kumasi</t>
  </si>
  <si>
    <t>TI Ahmadiyya Senior High School, Kumasi</t>
  </si>
  <si>
    <t>2023_0.125_Presec Abetifi</t>
  </si>
  <si>
    <t>Labone SHS</t>
  </si>
  <si>
    <t>Labone Senior High School</t>
  </si>
  <si>
    <t>SDA Agona</t>
  </si>
  <si>
    <t>Agona SDA Senior High</t>
  </si>
  <si>
    <t>2023_0.125_Prempeh</t>
  </si>
  <si>
    <t>TI Amass Fomena</t>
  </si>
  <si>
    <t>TI Ahmadiyya Senior High School, Fomena</t>
  </si>
  <si>
    <t>Navrongo SHS</t>
  </si>
  <si>
    <t>Navrongo SHS Senior High School</t>
  </si>
  <si>
    <t>Upper East</t>
  </si>
  <si>
    <t>2023_0.125_Augusco</t>
  </si>
  <si>
    <t>Persco</t>
  </si>
  <si>
    <t>St. Peter's Senior High School</t>
  </si>
  <si>
    <t>Aburi Girls</t>
  </si>
  <si>
    <t>Aburi Girls' Senior High School</t>
  </si>
  <si>
    <t>2023_0.125_Keta</t>
  </si>
  <si>
    <t>Koforidua Sec Tech</t>
  </si>
  <si>
    <t>Koforidua Sec Tech Senior High School</t>
  </si>
  <si>
    <t>St Johns Grammar</t>
  </si>
  <si>
    <t>St Johns Grammar Senior High School</t>
  </si>
  <si>
    <t>2023_0.125_Yikrosec</t>
  </si>
  <si>
    <t>St Hubert</t>
  </si>
  <si>
    <t>St. Hubert Seminary Senior High School</t>
  </si>
  <si>
    <t>Fijai</t>
  </si>
  <si>
    <t>Fijai Senior High School</t>
  </si>
  <si>
    <t>2023_0.125_Mfantsipim</t>
  </si>
  <si>
    <t>Kumaca</t>
  </si>
  <si>
    <t>Kumasi Academy</t>
  </si>
  <si>
    <t>Methodist Girls</t>
  </si>
  <si>
    <t>Methodist Girls High School, Mamfe</t>
  </si>
  <si>
    <t>2023_0.125_Accra Aca</t>
  </si>
  <si>
    <t>Akumfi Ameyaw</t>
  </si>
  <si>
    <t>Akumfi Ameyaw Senior High Technical School</t>
  </si>
  <si>
    <t>Awudome SHS</t>
  </si>
  <si>
    <t>Awudome Senior High School</t>
  </si>
  <si>
    <t>2023_0.125_Presec Legon</t>
  </si>
  <si>
    <t>KOSS</t>
  </si>
  <si>
    <t>Konongo Odumase Senior High School</t>
  </si>
  <si>
    <t>K Wegehey</t>
  </si>
  <si>
    <t>Kumasi Wesley Girls' Senior High School</t>
  </si>
  <si>
    <t>2022_1.0_Presec Legon</t>
  </si>
  <si>
    <t>2022_0.5_Prempeh</t>
  </si>
  <si>
    <t>2022_0.5_Presec Legon</t>
  </si>
  <si>
    <t>2022_0.5_Adisco</t>
  </si>
  <si>
    <t>2022_0.25_Augusco</t>
  </si>
  <si>
    <t>2022_0.25_Adisco</t>
  </si>
  <si>
    <t>2022_0.25_Owass</t>
  </si>
  <si>
    <t>2022_0.25_St. James</t>
  </si>
  <si>
    <t>2022_0.25_Kuhis</t>
  </si>
  <si>
    <t>2022_0.25_Presec Legon</t>
  </si>
  <si>
    <t>2022_0.25_Presec Abetifi</t>
  </si>
  <si>
    <t>2022_0.25_Mfantsipim</t>
  </si>
  <si>
    <t>2022_0.25_Prempeh</t>
  </si>
  <si>
    <t>2022_0.125_Keta</t>
  </si>
  <si>
    <t>Nungua Shs</t>
  </si>
  <si>
    <t>Nungua Senior High School</t>
  </si>
  <si>
    <t>2022_0.125_Owass</t>
  </si>
  <si>
    <t>2022_0.125_Adventist Bantama</t>
  </si>
  <si>
    <t>Tarkwa SHS</t>
  </si>
  <si>
    <t>Tarkwa Senior High School</t>
  </si>
  <si>
    <t>2022_0.125_Swedru SHS</t>
  </si>
  <si>
    <t>Notre Dame Sem</t>
  </si>
  <si>
    <t>Notre Dame Seminary Senior High School</t>
  </si>
  <si>
    <t>2022_0.125_Adisco</t>
  </si>
  <si>
    <t>Acherensua SHS</t>
  </si>
  <si>
    <t>Acherensua Senior High School</t>
  </si>
  <si>
    <t>Ahafo</t>
  </si>
  <si>
    <t>2022_0.125_Biheco</t>
  </si>
  <si>
    <t>Fiaseman</t>
  </si>
  <si>
    <t>Fiaseman Senior High School</t>
  </si>
  <si>
    <t>2022_0.125_PJ</t>
  </si>
  <si>
    <t>WASS</t>
  </si>
  <si>
    <t>West Africa Senior High School</t>
  </si>
  <si>
    <t>2022_0.125_Augusco</t>
  </si>
  <si>
    <t>Tamale Islamic</t>
  </si>
  <si>
    <t>Tamale Islamic Senior High School</t>
  </si>
  <si>
    <t>2022_0.125_Ghana National</t>
  </si>
  <si>
    <t>Nandom</t>
  </si>
  <si>
    <t>Nandom Senior High School</t>
  </si>
  <si>
    <t>2022_0.125_Accra Aca</t>
  </si>
  <si>
    <t>Adu Gyamfi</t>
  </si>
  <si>
    <t>Adu Gyamfi Senior High School</t>
  </si>
  <si>
    <t>2022_0.125_Presec Legon</t>
  </si>
  <si>
    <t>Asanteman SHS</t>
  </si>
  <si>
    <t>Asanteman Senior High School</t>
  </si>
  <si>
    <t>Shama SHS</t>
  </si>
  <si>
    <t>Shama Senior High School</t>
  </si>
  <si>
    <t>2022_0.125_Osei Tutu</t>
  </si>
  <si>
    <t>Toase SHS</t>
  </si>
  <si>
    <t>Toase Senior High School</t>
  </si>
  <si>
    <t>2022_0.125_Assin State</t>
  </si>
  <si>
    <t>Kanton</t>
  </si>
  <si>
    <t>Kanton Senior High School</t>
  </si>
  <si>
    <t>2022_0.125_Prempeh</t>
  </si>
  <si>
    <t>Ofori Panin</t>
  </si>
  <si>
    <t>Ofori Panin Senior High School</t>
  </si>
  <si>
    <t>2022_0.125_St. James</t>
  </si>
  <si>
    <t>Drobo</t>
  </si>
  <si>
    <t>Drobo Senior High School</t>
  </si>
  <si>
    <t>2022_0.125_Ghana SHS Koforidua</t>
  </si>
  <si>
    <t>Sakafia Islamic</t>
  </si>
  <si>
    <t>Sakafia Islamic Senior High School</t>
  </si>
  <si>
    <t>Wesley SHS Bekwai</t>
  </si>
  <si>
    <t>Wesley High School Bekwai</t>
  </si>
  <si>
    <t>2022_0.125_Kumasi sectec</t>
  </si>
  <si>
    <t>St. Mary's Accra</t>
  </si>
  <si>
    <t>St. Mary's Senior High School</t>
  </si>
  <si>
    <t>2022_0.125_Kuhis</t>
  </si>
  <si>
    <t>2022_0.125_Xavier</t>
  </si>
  <si>
    <t>Apam</t>
  </si>
  <si>
    <t>Apam Senior High School</t>
  </si>
  <si>
    <t>Oda SHS</t>
  </si>
  <si>
    <t>Oda SHS Senior High School</t>
  </si>
  <si>
    <t>2022_0.125_OKESS</t>
  </si>
  <si>
    <t>YASS</t>
  </si>
  <si>
    <t>Yaa Asantewaa Girls' Senior High School</t>
  </si>
  <si>
    <t>Bolgatanga SHS</t>
  </si>
  <si>
    <t>Bolgatanga Senior High School</t>
  </si>
  <si>
    <t>2022_0.125_Ghanata</t>
  </si>
  <si>
    <t>2022_0.125_Presec Abetifi</t>
  </si>
  <si>
    <t>Sonrise</t>
  </si>
  <si>
    <t>Sonrise Christian High School</t>
  </si>
  <si>
    <t>2022_0.125_St Hubert</t>
  </si>
  <si>
    <t>Sogasco</t>
  </si>
  <si>
    <t>Sogakofe Senior High School</t>
  </si>
  <si>
    <t>2022_0.125_Tamale SHS</t>
  </si>
  <si>
    <t>Mankranso SHS</t>
  </si>
  <si>
    <t>Mankranso Senior High School</t>
  </si>
  <si>
    <t>SDA Bekwai</t>
  </si>
  <si>
    <t>SDA Senior High School, Bekwai</t>
  </si>
  <si>
    <t>2022_0.125_Mawuli</t>
  </si>
  <si>
    <t>2022_0.125_Mfantsipim</t>
  </si>
  <si>
    <t>Presec Suhum</t>
  </si>
  <si>
    <t>Presbyterian Senior High School, Suhum</t>
  </si>
  <si>
    <t>Techiman SHS</t>
  </si>
  <si>
    <t>Techiman Senior High School</t>
  </si>
  <si>
    <t>2022_0.125_Presby SHTS Aburi</t>
  </si>
  <si>
    <t>Nkwatia Presby SHS</t>
  </si>
  <si>
    <t>Nkwatia Presbyterian Senior High School</t>
  </si>
  <si>
    <t>2021_1.0_Prempeh</t>
  </si>
  <si>
    <t>2021_0.5_Prempeh</t>
  </si>
  <si>
    <t>2021_0.5_Presec Legon</t>
  </si>
  <si>
    <t>2021_0.5_Keta</t>
  </si>
  <si>
    <t>2021_0.25_Wegehey</t>
  </si>
  <si>
    <t>2021_0.25_Chemu SHS</t>
  </si>
  <si>
    <t>2021_0.25_Tamale SHS</t>
  </si>
  <si>
    <t>2021_0.25_Owass</t>
  </si>
  <si>
    <t>2021_0.25_Prempeh</t>
  </si>
  <si>
    <t>Sogakope SHS</t>
  </si>
  <si>
    <t>Sogakope Senior High School</t>
  </si>
  <si>
    <t>2021_0.25_Presec Legon</t>
  </si>
  <si>
    <t>2021_0.25_Persco</t>
  </si>
  <si>
    <t>2021_0.25_Keta</t>
  </si>
  <si>
    <t>2021_0.25_KNUST SHS</t>
  </si>
  <si>
    <t>2021_0.125_KNUST SHS</t>
  </si>
  <si>
    <t>St. Johns School</t>
  </si>
  <si>
    <t>St. Johns School Senior High School</t>
  </si>
  <si>
    <t>2021_0.125_Ghana National</t>
  </si>
  <si>
    <t>2021_0.125_Tamale SHS</t>
  </si>
  <si>
    <t>Kalpohin Shs</t>
  </si>
  <si>
    <t>Kalpohin Senior High School</t>
  </si>
  <si>
    <t>2021_0.125_Prempeh</t>
  </si>
  <si>
    <t>Nkoranza SHTS</t>
  </si>
  <si>
    <t>Nkoranza Senior High Technical School</t>
  </si>
  <si>
    <t>2021_0.125_Bolgatanga SHS</t>
  </si>
  <si>
    <t>Northern School of Business</t>
  </si>
  <si>
    <t>2021_0.125_Wegehey</t>
  </si>
  <si>
    <t>2021_0.125_Sogakope SHS</t>
  </si>
  <si>
    <t>2021_0.125_Chemu SHS</t>
  </si>
  <si>
    <t>2021_0.125_Techiman SHS</t>
  </si>
  <si>
    <t>St Margaret Mary</t>
  </si>
  <si>
    <t>St Margaret Mary Senior High School</t>
  </si>
  <si>
    <t>2021_0.125_Sonrise</t>
  </si>
  <si>
    <t>2021_0.125_Kanton</t>
  </si>
  <si>
    <t>2021_0.125_Adisco</t>
  </si>
  <si>
    <t>2021_0.125_Persco</t>
  </si>
  <si>
    <t>2021_0.125_Augusco</t>
  </si>
  <si>
    <t>2021_0.125_St. Louis</t>
  </si>
  <si>
    <t>2021_0.125_Keta</t>
  </si>
  <si>
    <t>2021_0.125_Accra Aca</t>
  </si>
  <si>
    <t>2021_0.125_KASS</t>
  </si>
  <si>
    <t>Dzodze Penyi</t>
  </si>
  <si>
    <t>Dzodze Penyi Senior High School</t>
  </si>
  <si>
    <t>2021_0.125_Ola SHS</t>
  </si>
  <si>
    <t>2021_0.125_KOSS</t>
  </si>
  <si>
    <t>Zion College</t>
  </si>
  <si>
    <t>Zion College, Anloga</t>
  </si>
  <si>
    <t>Presec Osino</t>
  </si>
  <si>
    <t>Osino Presby Senior High Technical School</t>
  </si>
  <si>
    <t>2021_0.125_Swedru SHS</t>
  </si>
  <si>
    <t>Armed Forces</t>
  </si>
  <si>
    <t>Armed Forces Senior High Technical School</t>
  </si>
  <si>
    <t>2021_0.125_Presec Legon</t>
  </si>
  <si>
    <t>Ghana SHS Tamale</t>
  </si>
  <si>
    <t>Ghana Senior High School, Tamale</t>
  </si>
  <si>
    <t>2021_0.125_PJ</t>
  </si>
  <si>
    <t>2021_0.125_Kumaca</t>
  </si>
  <si>
    <t>2021_0.125_Ghana SHS Koforidua</t>
  </si>
  <si>
    <t>Boa Amponsem</t>
  </si>
  <si>
    <t>Boa Amponsem Senior High School</t>
  </si>
  <si>
    <t>2021_0.125_Oda SHS</t>
  </si>
  <si>
    <t>Takoradi SHS</t>
  </si>
  <si>
    <t>Takoradi Senior High School</t>
  </si>
  <si>
    <t>2021_0.125_Owass</t>
  </si>
  <si>
    <t>2020_1.0_Presec Legon</t>
  </si>
  <si>
    <t>2020_0.5_Owass</t>
  </si>
  <si>
    <t>2020_0.5_Adisco</t>
  </si>
  <si>
    <t>2020_0.5_Presec Legon</t>
  </si>
  <si>
    <t>2020_0.25_Kumaca</t>
  </si>
  <si>
    <t>2020_0.25_Presby SHTS Aburi</t>
  </si>
  <si>
    <t>2020_0.25_Presec Legon</t>
  </si>
  <si>
    <t>2020_0.25_Owass</t>
  </si>
  <si>
    <t>2020_0.25_Boa Amponsem</t>
  </si>
  <si>
    <t>2020_0.25_Accra Aca</t>
  </si>
  <si>
    <t>2020_0.25_Adisco</t>
  </si>
  <si>
    <t>2020_0.25_Achimota</t>
  </si>
  <si>
    <t>2020_0.25_Keta</t>
  </si>
  <si>
    <t>2020_0.125_Owass</t>
  </si>
  <si>
    <t>Agogo State College</t>
  </si>
  <si>
    <t>Zabzugu shs</t>
  </si>
  <si>
    <t>Zabzugu Senior High School</t>
  </si>
  <si>
    <t>2020_0.125_Prempeh</t>
  </si>
  <si>
    <t>2020_0.125_Augusco</t>
  </si>
  <si>
    <t>Bompeh SHTS</t>
  </si>
  <si>
    <t>Bompeh Senior High Technical School</t>
  </si>
  <si>
    <t>2020_0.125_KASS</t>
  </si>
  <si>
    <t>Obuasi SHTS</t>
  </si>
  <si>
    <t>Obuasi Senior High Technical School</t>
  </si>
  <si>
    <t>2020_0.125_Presec Osino</t>
  </si>
  <si>
    <t>2020_0.125_Achimota</t>
  </si>
  <si>
    <t>2020_0.125_Adisco</t>
  </si>
  <si>
    <t>2020_0.125_Northern School of Business</t>
  </si>
  <si>
    <t>2020_0.125_Kumaca</t>
  </si>
  <si>
    <t>2020_0.125_Armed Forces</t>
  </si>
  <si>
    <t>2020_0.125_Apam</t>
  </si>
  <si>
    <t>Kpando SHS</t>
  </si>
  <si>
    <t>Kpando Senior High School</t>
  </si>
  <si>
    <t>2020_0.125_Navrongo SHS</t>
  </si>
  <si>
    <t>TI Amass Potsin</t>
  </si>
  <si>
    <t>TI Ahmadiyya Senior High School, Potsin</t>
  </si>
  <si>
    <t>2020_0.125_Ola SHS</t>
  </si>
  <si>
    <t>St Roses</t>
  </si>
  <si>
    <t>St Rose's Senior High School</t>
  </si>
  <si>
    <t>2020_0.125_Persco</t>
  </si>
  <si>
    <t>Berekum SHS</t>
  </si>
  <si>
    <t>Berekum Senior High School</t>
  </si>
  <si>
    <t>2020_0.125_Presby SHTS Aburi</t>
  </si>
  <si>
    <t>St. Ignatius of Loyola</t>
  </si>
  <si>
    <t>St. Ignatius of Loyola Senior High School</t>
  </si>
  <si>
    <t>2020_0.125_Ghana National</t>
  </si>
  <si>
    <t>Tepa</t>
  </si>
  <si>
    <t>Tepa Senior High School</t>
  </si>
  <si>
    <t>Akatsi SHTS</t>
  </si>
  <si>
    <t>Akatsi Senior High Technical School</t>
  </si>
  <si>
    <t>2020_0.125_Koforidua Sec Tech</t>
  </si>
  <si>
    <t>2020_0.125_Presec Legon</t>
  </si>
  <si>
    <t>2020_0.125_Accra Aca</t>
  </si>
  <si>
    <t>Afua Kobi</t>
  </si>
  <si>
    <t>Afia Kobi Ampem Senior High School</t>
  </si>
  <si>
    <t>2020_0.125_Keta</t>
  </si>
  <si>
    <t>Nsein</t>
  </si>
  <si>
    <t>Nsein Senior High School</t>
  </si>
  <si>
    <t>2020_0.125_PJ</t>
  </si>
  <si>
    <t>St. Monica</t>
  </si>
  <si>
    <t>St. Monica's Senior High School</t>
  </si>
  <si>
    <t>2020_0.125_St Margaret Mary</t>
  </si>
  <si>
    <t>2020_0.125_Kumasi sectec</t>
  </si>
  <si>
    <t>2020_0.125_GSTS</t>
  </si>
  <si>
    <t>2020_0.125_Wegehey</t>
  </si>
  <si>
    <t>2020_0.125_Boa Amponsem</t>
  </si>
  <si>
    <t>Our Lady of Mercy</t>
  </si>
  <si>
    <t>Our Lady of Mercy Senior High School</t>
  </si>
  <si>
    <t>2020_0.125_Holico</t>
  </si>
  <si>
    <t>Kintampo</t>
  </si>
  <si>
    <t>Kintampo Senior High School</t>
  </si>
  <si>
    <t>Oti Boateng</t>
  </si>
  <si>
    <t>Oti Boateng Senior High School</t>
  </si>
  <si>
    <t>2019_1.0_Augusco</t>
  </si>
  <si>
    <t>2019_0.5_Augusco</t>
  </si>
  <si>
    <t>2019_0.5_Presec Legon</t>
  </si>
  <si>
    <t>2019_0.5_Persco</t>
  </si>
  <si>
    <t>2019_0.25_Augusco</t>
  </si>
  <si>
    <t>2019_0.25_Wegehey</t>
  </si>
  <si>
    <t>2019_0.25_Presec Legon</t>
  </si>
  <si>
    <t>2019_0.25_Persco</t>
  </si>
  <si>
    <t>2019_0.25_Adisco</t>
  </si>
  <si>
    <t>2019_0.25_Keta</t>
  </si>
  <si>
    <t>2019_0.25_GSTS</t>
  </si>
  <si>
    <t>2019_0.25_Owass</t>
  </si>
  <si>
    <t>2019_0.25_Tepa</t>
  </si>
  <si>
    <t>2019_0.125_Augusco</t>
  </si>
  <si>
    <t>2019_0.125_Tamale SHS</t>
  </si>
  <si>
    <t>Kadjebi Asato</t>
  </si>
  <si>
    <t>Kadjebi Asato Senior High School</t>
  </si>
  <si>
    <t>Oti</t>
  </si>
  <si>
    <t>Ada SHS</t>
  </si>
  <si>
    <t>Ada Senior High School</t>
  </si>
  <si>
    <t>2019_0.125_Boa Amponsem</t>
  </si>
  <si>
    <t>2019_0.125_Wegehey</t>
  </si>
  <si>
    <t>Akwamuman</t>
  </si>
  <si>
    <t>Akwamuman Senior High School</t>
  </si>
  <si>
    <t>Breman Asikuma</t>
  </si>
  <si>
    <t>Breman Asikuma Senior High School</t>
  </si>
  <si>
    <t>2019_0.125_Achimota</t>
  </si>
  <si>
    <t>Presec Nkwatia</t>
  </si>
  <si>
    <t>2019_0.125_Prempeh</t>
  </si>
  <si>
    <t>Atebubu</t>
  </si>
  <si>
    <t>Atebubu Senior High School</t>
  </si>
  <si>
    <t>2019_0.125_Presec Legon</t>
  </si>
  <si>
    <t>2019_0.125_PJ</t>
  </si>
  <si>
    <t>2019_0.125_St. Johns School</t>
  </si>
  <si>
    <t>2019_0.125_Persco</t>
  </si>
  <si>
    <t>2019_0.125_TI Amass Kumasi</t>
  </si>
  <si>
    <t>2019_0.125_Kpando SHS</t>
  </si>
  <si>
    <t>2019_0.125_Adisco</t>
  </si>
  <si>
    <t>Nsutaman SHS</t>
  </si>
  <si>
    <t>Nsutaman Catholic Senior High School</t>
  </si>
  <si>
    <t>2019_0.125_Kumaca</t>
  </si>
  <si>
    <t>2019_0.125_Ghana SHS Tamale</t>
  </si>
  <si>
    <t>New Juaben SHS</t>
  </si>
  <si>
    <t>New Juaben SHS Senior High School</t>
  </si>
  <si>
    <t>2019_0.125_Keta</t>
  </si>
  <si>
    <t>Edinaman SHS</t>
  </si>
  <si>
    <t>Edinaman Senior High School</t>
  </si>
  <si>
    <t>2019_0.125_Oti Boateng</t>
  </si>
  <si>
    <t>Sandema SHTS</t>
  </si>
  <si>
    <t>Sandema Senior High Technical School</t>
  </si>
  <si>
    <t>2019_0.125_Chemu SHS</t>
  </si>
  <si>
    <t>2019_0.125_GSTS</t>
  </si>
  <si>
    <t>2019_0.125_Takoradi SHS</t>
  </si>
  <si>
    <t>2019_0.125_Obuasi SHTS</t>
  </si>
  <si>
    <t>2019_0.125_Owass</t>
  </si>
  <si>
    <t>2019_0.125_Unipra</t>
  </si>
  <si>
    <t>Asamankese SHS</t>
  </si>
  <si>
    <t>Asamankese Senior High School</t>
  </si>
  <si>
    <t>Bolgatanga Girls</t>
  </si>
  <si>
    <t>Bolgatanga Girls Senior High School</t>
  </si>
  <si>
    <t>2019_0.125_St. Ignatius of Loyola</t>
  </si>
  <si>
    <t>2019_0.125_Tepa</t>
  </si>
  <si>
    <t>Islamic SHS Kumasi</t>
  </si>
  <si>
    <t>Islamic Senior High School, Kumasi</t>
  </si>
  <si>
    <t>2019_0.125_St Johns Grammar</t>
  </si>
  <si>
    <t>2019_0.125_Accra Aca</t>
  </si>
  <si>
    <t>2018_1.0_Persco</t>
  </si>
  <si>
    <t>2018_0.5_Persco</t>
  </si>
  <si>
    <t>2018_0.5_WASS</t>
  </si>
  <si>
    <t>2018_0.5_Adisco</t>
  </si>
  <si>
    <t>2018_0.25_Persco</t>
  </si>
  <si>
    <t>2018_0.25_Keta</t>
  </si>
  <si>
    <t>2018_0.25_Mawuli</t>
  </si>
  <si>
    <t>2018_0.25_WASS</t>
  </si>
  <si>
    <t>2018_0.25_Adisco</t>
  </si>
  <si>
    <t>2018_0.25_Prempeh</t>
  </si>
  <si>
    <t>2018_0.25_Krogiss</t>
  </si>
  <si>
    <t>2018_0.25_Mfantsipim</t>
  </si>
  <si>
    <t>2018_0.25_Ghana National</t>
  </si>
  <si>
    <t>2018_0.125_Persco</t>
  </si>
  <si>
    <t>Jachie Pramso</t>
  </si>
  <si>
    <t>Jachie-Pramso Senior High School</t>
  </si>
  <si>
    <t>2018_0.125_Aquinas</t>
  </si>
  <si>
    <t>Sekondi College</t>
  </si>
  <si>
    <t>Sekondi College Senior High School</t>
  </si>
  <si>
    <t>2018_0.125_Wegehey</t>
  </si>
  <si>
    <t>Twene Amanfo</t>
  </si>
  <si>
    <t>Twene Amanfo Senior High Technical School</t>
  </si>
  <si>
    <t>2018_0.125_Keta</t>
  </si>
  <si>
    <t>Adonten</t>
  </si>
  <si>
    <t>Adonten Senior High School</t>
  </si>
  <si>
    <t>2018_0.125_Porters</t>
  </si>
  <si>
    <t>2018_0.125_Koforidua Sec Tech</t>
  </si>
  <si>
    <t>2018_0.125_Mawuli</t>
  </si>
  <si>
    <t>Academy of Christ the King</t>
  </si>
  <si>
    <t>2018_0.125_Owass</t>
  </si>
  <si>
    <t>2018_0.125_New Juaben SHS</t>
  </si>
  <si>
    <t>Tweneboa Kodua</t>
  </si>
  <si>
    <t>Tweneboa Kodua Senior High School</t>
  </si>
  <si>
    <t>2018_0.125_WASS</t>
  </si>
  <si>
    <t>2018_0.125_Tamale SHS</t>
  </si>
  <si>
    <t>2018_0.125_Kumasi sectec</t>
  </si>
  <si>
    <t>2018_0.125_KNUST SHS</t>
  </si>
  <si>
    <t>2018_0.125_Mfantsipim</t>
  </si>
  <si>
    <t>2018_0.125_Presec Legon</t>
  </si>
  <si>
    <t>2018_0.125_Adisco</t>
  </si>
  <si>
    <t>2018_0.125_Sandema SHTS</t>
  </si>
  <si>
    <t>2018_0.125_St. Louis</t>
  </si>
  <si>
    <t>2018_0.125_Prempeh</t>
  </si>
  <si>
    <t>Saviour Shs</t>
  </si>
  <si>
    <t>Saviour Senior High School, Osiem</t>
  </si>
  <si>
    <t>2018_0.125_Accra Aca</t>
  </si>
  <si>
    <t>2018_0.125_Islamic SHS Kumasi</t>
  </si>
  <si>
    <t>Aduman SHS</t>
  </si>
  <si>
    <t>Aduman Senior High School</t>
  </si>
  <si>
    <t>2018_0.125_Krogiss</t>
  </si>
  <si>
    <t>2018_0.125_Holico</t>
  </si>
  <si>
    <t>2018_0.125_St Margaret Mary</t>
  </si>
  <si>
    <t>2018_0.125_Ghana National</t>
  </si>
  <si>
    <t>St Mary's Sem Lolobi</t>
  </si>
  <si>
    <t>St Mary's Seminary Secondary School, Lolobi</t>
  </si>
  <si>
    <t>2018_0.125_Aburi Girls</t>
  </si>
  <si>
    <t>2018_0.125_Unipra</t>
  </si>
  <si>
    <t>2017_1.0_Prempeh</t>
  </si>
  <si>
    <t>2017_0.5_Prempeh</t>
  </si>
  <si>
    <t>2017_0.5_Aquinas</t>
  </si>
  <si>
    <t>2017_0.5_Adisco</t>
  </si>
  <si>
    <t>2017_0.25_Prempeh</t>
  </si>
  <si>
    <t>2017_0.25_Mfantsipim</t>
  </si>
  <si>
    <t>2017_0.25_Mawuli</t>
  </si>
  <si>
    <t>2017_0.25_Aquinas</t>
  </si>
  <si>
    <t>2017_0.25_Presec Legon</t>
  </si>
  <si>
    <t>2017_0.25_Kuhis</t>
  </si>
  <si>
    <t>2017_0.25_Adisco</t>
  </si>
  <si>
    <t>2017_0.25_Unipra</t>
  </si>
  <si>
    <t>2017_0.25_Ghana National</t>
  </si>
  <si>
    <t>2017_0.125_Prempeh</t>
  </si>
  <si>
    <t>2017_0.125_GSTS</t>
  </si>
  <si>
    <t>2017_0.125_Aduman SHS</t>
  </si>
  <si>
    <t>2017_0.125_Mfantsipim</t>
  </si>
  <si>
    <t>Kwahu Ridge SHTS</t>
  </si>
  <si>
    <t>Kwahu Ridge Senior High Technical School</t>
  </si>
  <si>
    <t>2017_0.125_Aggrey Memorial Zion SHS</t>
  </si>
  <si>
    <t>2017_0.125_Anlo SHS</t>
  </si>
  <si>
    <t>2017_0.125_Mawuli</t>
  </si>
  <si>
    <t>2017_0.125_WASS</t>
  </si>
  <si>
    <t>Bueman SHS</t>
  </si>
  <si>
    <t>Bueman Senior High School</t>
  </si>
  <si>
    <t>2017_0.125_Holico</t>
  </si>
  <si>
    <t>Half Assini</t>
  </si>
  <si>
    <t>Half Assini Senior High School</t>
  </si>
  <si>
    <t>2017_0.125_Aquinas</t>
  </si>
  <si>
    <t>Juaso SHTS</t>
  </si>
  <si>
    <t>Juaso Senior High Technical School</t>
  </si>
  <si>
    <t>2017_0.125_Nifa SHS</t>
  </si>
  <si>
    <t>2017_0.125_St Hubert</t>
  </si>
  <si>
    <t>Zebilla SHTS</t>
  </si>
  <si>
    <t>Zebilla Senior High Technical School</t>
  </si>
  <si>
    <t>2017_0.125_Presec Legon</t>
  </si>
  <si>
    <t>2017_0.125_Keta</t>
  </si>
  <si>
    <t>2017_0.125_Jachie Pramso</t>
  </si>
  <si>
    <t>2017_0.125_Kuhis</t>
  </si>
  <si>
    <t>St Paul SHS, Denu</t>
  </si>
  <si>
    <t xml:space="preserve">St Paul's Senior High School, Denu </t>
  </si>
  <si>
    <t>2017_0.125_TI Amass Fomena</t>
  </si>
  <si>
    <t>Kwanyako</t>
  </si>
  <si>
    <t>Kwanyako Senior High Technical School</t>
  </si>
  <si>
    <t>2017_0.125_Wegehey</t>
  </si>
  <si>
    <t>Accra High</t>
  </si>
  <si>
    <t>Accra High School</t>
  </si>
  <si>
    <t>2017_0.125_Adisco</t>
  </si>
  <si>
    <t>Nkroful Agric</t>
  </si>
  <si>
    <t>Nkroful Agricultural Senior High School</t>
  </si>
  <si>
    <t>Suhum SHTS</t>
  </si>
  <si>
    <t>Suhum Senior High Technical School</t>
  </si>
  <si>
    <t>2017_0.125_New Juaben SHS</t>
  </si>
  <si>
    <t>Mfantsiman</t>
  </si>
  <si>
    <t>Mfantsiman Senior High School</t>
  </si>
  <si>
    <t>2017_0.125_Takoradi SHS</t>
  </si>
  <si>
    <t>Benkum SHS</t>
  </si>
  <si>
    <t>Benkum Senior High School</t>
  </si>
  <si>
    <t>Ogua SHTS</t>
  </si>
  <si>
    <t>Ogua Senior High Technical School</t>
  </si>
  <si>
    <t>2017_0.125_Unipra</t>
  </si>
  <si>
    <t>2017_0.125_Tamale SHS</t>
  </si>
  <si>
    <t>2017_0.125_KNUST SHS</t>
  </si>
  <si>
    <t>2017_0.125_Ghana National</t>
  </si>
  <si>
    <t>2017_0.125_Porters</t>
  </si>
  <si>
    <t>Tema SHS</t>
  </si>
  <si>
    <t>Tema Senior High School</t>
  </si>
  <si>
    <t>2017_0.125_Aburi Girls</t>
  </si>
  <si>
    <t>2016_1.0_Adisco</t>
  </si>
  <si>
    <t>2016_0.5_Adisco</t>
  </si>
  <si>
    <t>2016_0.5_Owass</t>
  </si>
  <si>
    <t>2016_0.5_Mfantsipim</t>
  </si>
  <si>
    <t>2016_0.25_Adisco</t>
  </si>
  <si>
    <t>2016_0.25_Accra Aca</t>
  </si>
  <si>
    <t>2016_0.25_Kumasi sectec</t>
  </si>
  <si>
    <t>2016_0.25_Owass</t>
  </si>
  <si>
    <t>2016_0.25_Kuhis</t>
  </si>
  <si>
    <t>2016_0.25_St Hubert</t>
  </si>
  <si>
    <t>2016_0.25_Mfantsipim</t>
  </si>
  <si>
    <t>2016_0.25_Aquinas</t>
  </si>
  <si>
    <t>2016_0.25_Ghana National</t>
  </si>
  <si>
    <t>2016_0.125_PJ</t>
  </si>
  <si>
    <t>2016_0.125_Adisco</t>
  </si>
  <si>
    <t>2016_0.125_Tamale SHS</t>
  </si>
  <si>
    <t>2016_0.125_Benkum SHS</t>
  </si>
  <si>
    <t>2016_0.125_Accra Aca</t>
  </si>
  <si>
    <t>2016_0.125_SDA Bekwai</t>
  </si>
  <si>
    <t>2016_0.125_Sekondi College</t>
  </si>
  <si>
    <t>2016_0.125_Kumasi sectec</t>
  </si>
  <si>
    <t>2016_0.125_KNUST SHS</t>
  </si>
  <si>
    <t>2016_0.125_Kintampo</t>
  </si>
  <si>
    <t>Bawku SHS</t>
  </si>
  <si>
    <t>Bawku Senior High School</t>
  </si>
  <si>
    <t>Presec Berekum</t>
  </si>
  <si>
    <t>Berekum Presbyterian Senior High School</t>
  </si>
  <si>
    <t>2016_0.125_Owass</t>
  </si>
  <si>
    <t>2016_0.125_Ada SHS</t>
  </si>
  <si>
    <t>2016_0.125_GSTS</t>
  </si>
  <si>
    <t>Gowrie SHTS</t>
  </si>
  <si>
    <t>Gowrie Senior High Technical School</t>
  </si>
  <si>
    <t>2016_0.125_Kuhis</t>
  </si>
  <si>
    <t>2016_0.125_Koforidua Sec Tech</t>
  </si>
  <si>
    <t>2016_0.125_Nifa SHS</t>
  </si>
  <si>
    <t>2016_0.125_St Hubert</t>
  </si>
  <si>
    <t>2016_0.125_Unipra</t>
  </si>
  <si>
    <t>2016_0.125_WASS</t>
  </si>
  <si>
    <t>Assin Manso</t>
  </si>
  <si>
    <t>Assin Manso Senior High School</t>
  </si>
  <si>
    <t>2016_0.125_Mfantsipim</t>
  </si>
  <si>
    <t>2016_0.125_Prempeh</t>
  </si>
  <si>
    <t>2016_0.125_Wegehey</t>
  </si>
  <si>
    <t>2016_0.125_Aquinas</t>
  </si>
  <si>
    <t>2016_0.125_Mfantsiman</t>
  </si>
  <si>
    <t>2016_0.125_Aggrey Memorial Zion SHS</t>
  </si>
  <si>
    <t>2016_0.125_Ghana National</t>
  </si>
  <si>
    <t>2016_0.125_Presby SHTS Aburi</t>
  </si>
  <si>
    <t>Damongo SHS</t>
  </si>
  <si>
    <t>Damongo</t>
  </si>
  <si>
    <t>Savana</t>
  </si>
  <si>
    <t>2024_1.0_Mfantsipim</t>
  </si>
  <si>
    <t>2024_0.5_Mfantsipim</t>
  </si>
  <si>
    <t>2024_0.5_Augusco</t>
  </si>
  <si>
    <t>2024_0.5_Keta</t>
  </si>
  <si>
    <t>2024_0.25_Mfantsipim</t>
  </si>
  <si>
    <t>2024_0.25_Presec Legon</t>
  </si>
  <si>
    <t>2024_0.25_Wegehey</t>
  </si>
  <si>
    <t>2024_0.25_Augusco</t>
  </si>
  <si>
    <t>2024_0.25_Ghana National</t>
  </si>
  <si>
    <t>2024_0.25_Osei Tutu</t>
  </si>
  <si>
    <t>2024_0.25_Keta</t>
  </si>
  <si>
    <t>2024_0.25_Koforidua Sec Tech</t>
  </si>
  <si>
    <t>2024_0.25_Tamale SHS</t>
  </si>
  <si>
    <t>2024_0.125_Mfantsipim</t>
  </si>
  <si>
    <t>2024_0.125_Prempeh</t>
  </si>
  <si>
    <t>2024_0.125_Swedru SHS</t>
  </si>
  <si>
    <t>2024_0.125_Presec Legon</t>
  </si>
  <si>
    <t>Kofi Agyei</t>
  </si>
  <si>
    <t>Kofi Agyei Senior High Technical School</t>
  </si>
  <si>
    <t>2024_0.125_Persco</t>
  </si>
  <si>
    <t>2024_0.125_St. James</t>
  </si>
  <si>
    <t>Tsito</t>
  </si>
  <si>
    <t>Tsito Senior High Technical School</t>
  </si>
  <si>
    <t>2024_0.125_Wegehey</t>
  </si>
  <si>
    <t>2024_0.125_PJ</t>
  </si>
  <si>
    <t>2024_0.125_Mawuli</t>
  </si>
  <si>
    <t>2024_0.125_Augusco</t>
  </si>
  <si>
    <t>Queen of Peace</t>
  </si>
  <si>
    <t>Queen of Peace Senior High School</t>
  </si>
  <si>
    <t>2024_0.125_St Hubert</t>
  </si>
  <si>
    <t>Adiembra SHS</t>
  </si>
  <si>
    <t>Adiembra Senior High School</t>
  </si>
  <si>
    <t>2024_0.125_Biheco</t>
  </si>
  <si>
    <t>Wallahs</t>
  </si>
  <si>
    <t>Wallahs Academy</t>
  </si>
  <si>
    <t>2024_0.125_Ghana National</t>
  </si>
  <si>
    <t>2024_0.125_Owass</t>
  </si>
  <si>
    <t>OLAG</t>
  </si>
  <si>
    <t>Our Lady of Grace Senior High School</t>
  </si>
  <si>
    <t>2024_0.125_Presby SHTS Aburi</t>
  </si>
  <si>
    <t>Mansec</t>
  </si>
  <si>
    <t>2024_0.125_Osei Tutu</t>
  </si>
  <si>
    <t>2024_0.125_Apam</t>
  </si>
  <si>
    <t>2024_0.125_GSTS</t>
  </si>
  <si>
    <t>2024_0.125_Keta</t>
  </si>
  <si>
    <t>2024_0.125_Achimota</t>
  </si>
  <si>
    <t>Agiss</t>
  </si>
  <si>
    <t>Accra Girls' Senior High School</t>
  </si>
  <si>
    <t>2024_0.125_Mpraeso</t>
  </si>
  <si>
    <t>2024_0.125_Koforidua Sec Tech</t>
  </si>
  <si>
    <t>2024_0.125_Adonten</t>
  </si>
  <si>
    <t>2024_0.125_Ghana SHS Koforidua</t>
  </si>
  <si>
    <t>HEPSS</t>
  </si>
  <si>
    <t>Hohoe EP Senior High School</t>
  </si>
  <si>
    <t>2024_0.125_Tamale SHS</t>
  </si>
  <si>
    <t>2024_0.125_St Johns School</t>
  </si>
  <si>
    <t>2024_0.125_Accra Aca</t>
  </si>
  <si>
    <t>OMESS</t>
  </si>
  <si>
    <t>Oyoko Methodist Senior High School</t>
  </si>
  <si>
    <t>Contest_id</t>
  </si>
  <si>
    <t>Row Labels</t>
  </si>
  <si>
    <t>Grand Total</t>
  </si>
  <si>
    <t>Average of Points</t>
  </si>
  <si>
    <t>Sum of Win Flag</t>
  </si>
  <si>
    <t>Contests</t>
  </si>
  <si>
    <t>Points (Boys)</t>
  </si>
  <si>
    <t>Points(Girls)</t>
  </si>
  <si>
    <t>Points(Mixed)</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</si>
  <si>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</si>
  <si>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</si>
  <si>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</si>
  <si>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</si>
  <si>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</si>
  <si>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</si>
  <si>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</si>
  <si>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</si>
  <si>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</si>
  <si>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</si>
  <si>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</si>
  <si>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</si>
  <si>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</si>
  <si>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</si>
  <si>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</si>
  <si>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</si>
  <si>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</si>
  <si>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</si>
  <si>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t-Test: Two-Sample Assuming Unequal Variances</t>
  </si>
  <si>
    <t>Mean</t>
  </si>
  <si>
    <t>Observations</t>
  </si>
  <si>
    <t>Hypothesized Mean Difference</t>
  </si>
  <si>
    <t>t Stat</t>
  </si>
  <si>
    <t>P(T&lt;=t) one-tail</t>
  </si>
  <si>
    <t>t Critical one-tail</t>
  </si>
  <si>
    <t>P(T&lt;=t) two-tail</t>
  </si>
  <si>
    <t>t Critical two-tail</t>
  </si>
  <si>
    <t>Column Labels</t>
  </si>
  <si>
    <t>Wins</t>
  </si>
  <si>
    <t>NotWins</t>
  </si>
  <si>
    <t>Expected Wins</t>
  </si>
  <si>
    <t>Expected Losses</t>
  </si>
  <si>
    <t>P-Value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</si>
</sst>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1" xfId="0" applyBorder="1"/>
    <xf numFmtId="0" fontId="2" fillId="0" borderId="2" xfId="0" applyFont="1" applyBorder="1" applyAlignment="1">
      <alignment horizontal="center"/>
    </xf>
    <xf numFmtId="164" fontId="0" fillId="0" borderId="0" xfId="0" applyNumberFormat="1"/>
    <xf numFmtId="0" fontId="0" fillId="0" borderId="0" xfId="0" applyNumberFormat="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[NSMQ DATA ANALYSIS.xlsx]PIVOT SUMMARY!pv_AvgPoints_Gender.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Points By Gender</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SUMMARY'!$B$3</c:f>
              <c:strCache>
                <c:ptCount val="1"/>
                <c:pt idx="0">
                  <c:v>Total</c:v>
                </c:pt>
              </c:strCache>
            </c:strRef>
          </c:tx>
          <c:spPr>
            <a:solidFill>
              <a:schemeClr val="accent1"/>
            </a:solidFill>
            <a:ln>
              <a:noFill/>
            </a:ln>
            <a:effectLst/>
          </c:spPr>
          <c:invertIfNegative val="0"/>
          <c:cat>
            <c:strRef>
              <c:f>'PIVOT SUMMARY'!$A$4:$A$7</c:f>
              <c:strCache>
                <c:ptCount val="3"/>
                <c:pt idx="0">
                  <c:v>Boys</c:v>
                </c:pt>
                <c:pt idx="1">
                  <c:v>Girls</c:v>
                </c:pt>
                <c:pt idx="2">
                  <c:v>Mixed</c:v>
                </c:pt>
              </c:strCache>
            </c:strRef>
          </c:cat>
          <c:val>
            <c:numRef>
              <c:f>'PIVOT SUMMARY'!$B$4:$B$7</c:f>
              <c:numCache>
                <c:formatCode>General</c:formatCode>
                <c:ptCount val="3"/>
                <c:pt idx="0">
                  <c:v>42.455882352941174</c:v>
                </c:pt>
                <c:pt idx="1">
                  <c:v>32.567567567567565</c:v>
                </c:pt>
                <c:pt idx="2">
                  <c:v>32.464228934817172</c:v>
                </c:pt>
              </c:numCache>
            </c:numRef>
          </c:val>
          <c:extLst>
            <c:ext xmlns:c16="http://schemas.microsoft.com/office/drawing/2014/chart" uri="{C3380CC4-5D6E-409C-BE32-E72D297353CC}">
              <c16:uniqueId val="{00000000-B99F-4345-A2DD-EC04ABD46061}"/>
            </c:ext>
          </c:extLst>
        </c:ser>
        <c:dLbls>
          <c:showLegendKey val="0"/>
          <c:showVal val="0"/>
          <c:showCatName val="0"/>
          <c:showSerName val="0"/>
          <c:showPercent val="0"/>
          <c:showBubbleSize val="0"/>
        </c:dLbls>
        <c:gapWidth val="219"/>
        <c:overlap val="-27"/>
        <c:axId val="2074394544"/>
        <c:axId val="2074387056"/>
      </c:barChart>
      <c:catAx>
        <c:axId val="207439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74387056"/>
        <c:crosses val="autoZero"/>
        <c:auto val="1"/>
        <c:lblAlgn val="ctr"/>
        <c:lblOffset val="100"/>
        <c:noMultiLvlLbl val="0"/>
      </c:catAx>
      <c:valAx>
        <c:axId val="207438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743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[NSMQ DATA ANALYSIS.xlsx]PIVOT SUMMARY!pv_AvgPoints_Years_Gender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Points By Year &amp;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8860687880714"/>
          <c:y val="0.23509040536599593"/>
          <c:w val="0.73516885389326336"/>
          <c:h val="0.65853091280256637"/>
        </c:manualLayout>
      </c:layout>
      <c:lineChart>
        <c:grouping val="standard"/>
        <c:varyColors val="0"/>
        <c:ser>
          <c:idx val="0"/>
          <c:order val="0"/>
          <c:tx>
            <c:strRef>
              <c:f>'PIVOT SUMMARY'!$F$3:$F$4</c:f>
              <c:strCache>
                <c:ptCount val="1"/>
                <c:pt idx="0">
                  <c:v>Boys</c:v>
                </c:pt>
              </c:strCache>
            </c:strRef>
          </c:tx>
          <c:spPr>
            <a:ln w="28575" cap="rnd">
              <a:solidFill>
                <a:schemeClr val="accent1"/>
              </a:solidFill>
              <a:round/>
            </a:ln>
            <a:effectLst/>
          </c:spPr>
          <c:marker>
            <c:symbol val="none"/>
          </c:marker>
          <c:cat>
            <c:strRef>
              <c:f>'PIVOT SUMMARY'!$E$5:$E$14</c:f>
              <c:strCache>
                <c:ptCount val="9"/>
                <c:pt idx="0">
                  <c:v>2016</c:v>
                </c:pt>
                <c:pt idx="1">
                  <c:v>2017</c:v>
                </c:pt>
                <c:pt idx="2">
                  <c:v>2018</c:v>
                </c:pt>
                <c:pt idx="3">
                  <c:v>2019</c:v>
                </c:pt>
                <c:pt idx="4">
                  <c:v>2020</c:v>
                </c:pt>
                <c:pt idx="5">
                  <c:v>2021</c:v>
                </c:pt>
                <c:pt idx="6">
                  <c:v>2022</c:v>
                </c:pt>
                <c:pt idx="7">
                  <c:v>2023</c:v>
                </c:pt>
                <c:pt idx="8">
                  <c:v>2024</c:v>
                </c:pt>
              </c:strCache>
            </c:strRef>
          </c:cat>
          <c:val>
            <c:numRef>
              <c:f>'PIVOT SUMMARY'!$F$5:$F$14</c:f>
              <c:numCache>
                <c:formatCode>General</c:formatCode>
                <c:ptCount val="9"/>
                <c:pt idx="0">
                  <c:v>45.674999999999997</c:v>
                </c:pt>
                <c:pt idx="1">
                  <c:v>42.944444444444443</c:v>
                </c:pt>
                <c:pt idx="2">
                  <c:v>40.647058823529413</c:v>
                </c:pt>
                <c:pt idx="3">
                  <c:v>38.138888888888886</c:v>
                </c:pt>
                <c:pt idx="4">
                  <c:v>39.942857142857143</c:v>
                </c:pt>
                <c:pt idx="5">
                  <c:v>45.714285714285715</c:v>
                </c:pt>
                <c:pt idx="6">
                  <c:v>42.045454545454547</c:v>
                </c:pt>
                <c:pt idx="7">
                  <c:v>40.292682926829265</c:v>
                </c:pt>
                <c:pt idx="8">
                  <c:v>46.333333333333336</c:v>
                </c:pt>
              </c:numCache>
            </c:numRef>
          </c:val>
          <c:smooth val="0"/>
          <c:extLst>
            <c:ext xmlns:c16="http://schemas.microsoft.com/office/drawing/2014/chart" uri="{C3380CC4-5D6E-409C-BE32-E72D297353CC}">
              <c16:uniqueId val="{00000000-4970-4327-AC04-04F0CD237B72}"/>
            </c:ext>
          </c:extLst>
        </c:ser>
        <c:ser>
          <c:idx val="1"/>
          <c:order val="1"/>
          <c:tx>
            <c:strRef>
              <c:f>'PIVOT SUMMARY'!$G$3:$G$4</c:f>
              <c:strCache>
                <c:ptCount val="1"/>
                <c:pt idx="0">
                  <c:v>Girls</c:v>
                </c:pt>
              </c:strCache>
            </c:strRef>
          </c:tx>
          <c:spPr>
            <a:ln w="28575" cap="rnd">
              <a:solidFill>
                <a:schemeClr val="accent2"/>
              </a:solidFill>
              <a:round/>
            </a:ln>
            <a:effectLst/>
          </c:spPr>
          <c:marker>
            <c:symbol val="none"/>
          </c:marker>
          <c:cat>
            <c:strRef>
              <c:f>'PIVOT SUMMARY'!$E$5:$E$14</c:f>
              <c:strCache>
                <c:ptCount val="9"/>
                <c:pt idx="0">
                  <c:v>2016</c:v>
                </c:pt>
                <c:pt idx="1">
                  <c:v>2017</c:v>
                </c:pt>
                <c:pt idx="2">
                  <c:v>2018</c:v>
                </c:pt>
                <c:pt idx="3">
                  <c:v>2019</c:v>
                </c:pt>
                <c:pt idx="4">
                  <c:v>2020</c:v>
                </c:pt>
                <c:pt idx="5">
                  <c:v>2021</c:v>
                </c:pt>
                <c:pt idx="6">
                  <c:v>2022</c:v>
                </c:pt>
                <c:pt idx="7">
                  <c:v>2023</c:v>
                </c:pt>
                <c:pt idx="8">
                  <c:v>2024</c:v>
                </c:pt>
              </c:strCache>
            </c:strRef>
          </c:cat>
          <c:val>
            <c:numRef>
              <c:f>'PIVOT SUMMARY'!$G$5:$G$14</c:f>
              <c:numCache>
                <c:formatCode>General</c:formatCode>
                <c:ptCount val="9"/>
                <c:pt idx="0">
                  <c:v>37.272727272727273</c:v>
                </c:pt>
                <c:pt idx="1">
                  <c:v>34.07692307692308</c:v>
                </c:pt>
                <c:pt idx="2">
                  <c:v>32.058823529411768</c:v>
                </c:pt>
                <c:pt idx="3">
                  <c:v>28.09090909090909</c:v>
                </c:pt>
                <c:pt idx="4">
                  <c:v>32.153846153846153</c:v>
                </c:pt>
                <c:pt idx="5">
                  <c:v>37.5</c:v>
                </c:pt>
                <c:pt idx="6">
                  <c:v>20.5</c:v>
                </c:pt>
                <c:pt idx="7">
                  <c:v>31.75</c:v>
                </c:pt>
                <c:pt idx="8">
                  <c:v>36.625</c:v>
                </c:pt>
              </c:numCache>
            </c:numRef>
          </c:val>
          <c:smooth val="0"/>
          <c:extLst>
            <c:ext xmlns:c16="http://schemas.microsoft.com/office/drawing/2014/chart" uri="{C3380CC4-5D6E-409C-BE32-E72D297353CC}">
              <c16:uniqueId val="{00000001-0078-420B-B54B-4BC177EC4ED1}"/>
            </c:ext>
          </c:extLst>
        </c:ser>
        <c:ser>
          <c:idx val="2"/>
          <c:order val="2"/>
          <c:tx>
            <c:strRef>
              <c:f>'PIVOT SUMMARY'!$H$3:$H$4</c:f>
              <c:strCache>
                <c:ptCount val="1"/>
                <c:pt idx="0">
                  <c:v>Mixed</c:v>
                </c:pt>
              </c:strCache>
            </c:strRef>
          </c:tx>
          <c:spPr>
            <a:ln w="28575" cap="rnd">
              <a:solidFill>
                <a:schemeClr val="accent3"/>
              </a:solidFill>
              <a:round/>
            </a:ln>
            <a:effectLst/>
          </c:spPr>
          <c:marker>
            <c:symbol val="none"/>
          </c:marker>
          <c:cat>
            <c:strRef>
              <c:f>'PIVOT SUMMARY'!$E$5:$E$14</c:f>
              <c:strCache>
                <c:ptCount val="9"/>
                <c:pt idx="0">
                  <c:v>2016</c:v>
                </c:pt>
                <c:pt idx="1">
                  <c:v>2017</c:v>
                </c:pt>
                <c:pt idx="2">
                  <c:v>2018</c:v>
                </c:pt>
                <c:pt idx="3">
                  <c:v>2019</c:v>
                </c:pt>
                <c:pt idx="4">
                  <c:v>2020</c:v>
                </c:pt>
                <c:pt idx="5">
                  <c:v>2021</c:v>
                </c:pt>
                <c:pt idx="6">
                  <c:v>2022</c:v>
                </c:pt>
                <c:pt idx="7">
                  <c:v>2023</c:v>
                </c:pt>
                <c:pt idx="8">
                  <c:v>2024</c:v>
                </c:pt>
              </c:strCache>
            </c:strRef>
          </c:cat>
          <c:val>
            <c:numRef>
              <c:f>'PIVOT SUMMARY'!$H$5:$H$14</c:f>
              <c:numCache>
                <c:formatCode>General</c:formatCode>
                <c:ptCount val="9"/>
                <c:pt idx="0">
                  <c:v>37.086956521739133</c:v>
                </c:pt>
                <c:pt idx="1">
                  <c:v>33.183098591549296</c:v>
                </c:pt>
                <c:pt idx="2">
                  <c:v>30.521739130434781</c:v>
                </c:pt>
                <c:pt idx="3">
                  <c:v>29.342465753424658</c:v>
                </c:pt>
                <c:pt idx="4">
                  <c:v>28.736111111111111</c:v>
                </c:pt>
                <c:pt idx="5">
                  <c:v>34.91549295774648</c:v>
                </c:pt>
                <c:pt idx="6">
                  <c:v>30.058823529411764</c:v>
                </c:pt>
                <c:pt idx="7">
                  <c:v>35.301587301587304</c:v>
                </c:pt>
                <c:pt idx="8">
                  <c:v>33.438356164383563</c:v>
                </c:pt>
              </c:numCache>
            </c:numRef>
          </c:val>
          <c:smooth val="0"/>
          <c:extLst>
            <c:ext xmlns:c16="http://schemas.microsoft.com/office/drawing/2014/chart" uri="{C3380CC4-5D6E-409C-BE32-E72D297353CC}">
              <c16:uniqueId val="{00000002-0078-420B-B54B-4BC177EC4ED1}"/>
            </c:ext>
          </c:extLst>
        </c:ser>
        <c:dLbls>
          <c:showLegendKey val="0"/>
          <c:showVal val="0"/>
          <c:showCatName val="0"/>
          <c:showSerName val="0"/>
          <c:showPercent val="0"/>
          <c:showBubbleSize val="0"/>
        </c:dLbls>
        <c:smooth val="0"/>
        <c:axId val="2080041280"/>
        <c:axId val="2080046272"/>
      </c:lineChart>
      <c:catAx>
        <c:axId val="208004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80046272"/>
        <c:crosses val="autoZero"/>
        <c:auto val="1"/>
        <c:lblAlgn val="ctr"/>
        <c:lblOffset val="100"/>
        <c:noMultiLvlLbl val="0"/>
      </c:catAx>
      <c:valAx>
        <c:axId val="208004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8004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[NSMQ DATA ANALYSIS.xlsx]PIVOT SUMMARY!pv_Wins_Gender.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Distribution By Gender (Wins &amp; Contests)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SUMMARY'!$M$3</c:f>
              <c:strCache>
                <c:ptCount val="1"/>
                <c:pt idx="0">
                  <c:v>Wins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F8-44C8-A208-40AD05FEF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F8-44C8-A208-40AD05FEF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F8-44C8-A208-40AD05FEFF97}"/>
              </c:ext>
            </c:extLst>
          </c:dPt>
          <c:cat>
            <c:strRef>
              <c:f>'PIVOT SUMMARY'!$L$4:$L$7</c:f>
              <c:strCache>
                <c:ptCount val="3"/>
                <c:pt idx="0">
                  <c:v>Boys</c:v>
                </c:pt>
                <c:pt idx="1">
                  <c:v>Girls</c:v>
                </c:pt>
                <c:pt idx="2">
                  <c:v>Mixed</c:v>
                </c:pt>
              </c:strCache>
            </c:strRef>
          </c:cat>
          <c:val>
            <c:numRef>
              <c:f>'PIVOT SUMMARY'!$M$4:$M$7</c:f>
              <c:numCache>
                <c:formatCode>General</c:formatCode>
                <c:ptCount val="3"/>
                <c:pt idx="0">
                  <c:v>179</c:v>
                </c:pt>
                <c:pt idx="1">
                  <c:v>28</c:v>
                </c:pt>
                <c:pt idx="2">
                  <c:v>153</c:v>
                </c:pt>
              </c:numCache>
            </c:numRef>
          </c:val>
          <c:extLst>
            <c:ext xmlns:c16="http://schemas.microsoft.com/office/drawing/2014/chart" uri="{C3380CC4-5D6E-409C-BE32-E72D297353CC}">
              <c16:uniqueId val="{00000006-ECF8-44C8-A208-40AD05FEFF97}"/>
            </c:ext>
          </c:extLst>
        </c:ser>
        <c:ser>
          <c:idx val="1"/>
          <c:order val="1"/>
          <c:tx>
            <c:strRef>
              <c:f>'PIVOT SUMMARY'!$N$3</c:f>
              <c:strCache>
                <c:ptCount val="1"/>
                <c:pt idx="0">
                  <c:v>Contests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CF8-44C8-A208-40AD05FEF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CF8-44C8-A208-40AD05FEF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CF8-44C8-A208-40AD05FEFF97}"/>
              </c:ext>
            </c:extLst>
          </c:dPt>
          <c:cat>
            <c:strRef>
              <c:f>'PIVOT SUMMARY'!$L$4:$L$7</c:f>
              <c:strCache>
                <c:ptCount val="3"/>
                <c:pt idx="0">
                  <c:v>Boys</c:v>
                </c:pt>
                <c:pt idx="1">
                  <c:v>Girls</c:v>
                </c:pt>
                <c:pt idx="2">
                  <c:v>Mixed</c:v>
                </c:pt>
              </c:strCache>
            </c:strRef>
          </c:cat>
          <c:val>
            <c:numRef>
              <c:f>'PIVOT SUMMARY'!$N$4:$N$7</c:f>
              <c:numCache>
                <c:formatCode>General</c:formatCode>
                <c:ptCount val="3"/>
                <c:pt idx="0">
                  <c:v>340</c:v>
                </c:pt>
                <c:pt idx="1">
                  <c:v>111</c:v>
                </c:pt>
                <c:pt idx="2">
                  <c:v>629</c:v>
                </c:pt>
              </c:numCache>
            </c:numRef>
          </c:val>
          <c:extLst>
            <c:ext xmlns:c16="http://schemas.microsoft.com/office/drawing/2014/chart" uri="{C3380CC4-5D6E-409C-BE32-E72D297353CC}">
              <c16:uniqueId val="{0000000D-ECF8-44C8-A208-40AD05FEFF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541666666666659"/>
          <c:y val="0.36790536599591722"/>
          <c:w val="0.12291666666666666"/>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[NSMQ DATA ANALYSIS.xlsx]PIVOT SUMMARY!pv_Wins_Year_Gender.</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Count By Year &amp; Gender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23150702449901E-2"/>
          <c:y val="0.25360892388451445"/>
          <c:w val="0.73516885389326336"/>
          <c:h val="0.65853091280256637"/>
        </c:manualLayout>
      </c:layout>
      <c:lineChart>
        <c:grouping val="standard"/>
        <c:varyColors val="0"/>
        <c:ser>
          <c:idx val="0"/>
          <c:order val="0"/>
          <c:tx>
            <c:strRef>
              <c:f>'PIVOT SUMMARY'!$B$18:$B$19</c:f>
              <c:strCache>
                <c:ptCount val="1"/>
                <c:pt idx="0">
                  <c:v>Boys</c:v>
                </c:pt>
              </c:strCache>
            </c:strRef>
          </c:tx>
          <c:spPr>
            <a:ln w="28575" cap="rnd">
              <a:solidFill>
                <a:schemeClr val="accent1"/>
              </a:solidFill>
              <a:round/>
            </a:ln>
            <a:effectLst/>
          </c:spPr>
          <c:marker>
            <c:symbol val="none"/>
          </c:marker>
          <c:cat>
            <c:strRef>
              <c:f>'PIVOT SUMMARY'!$A$20:$A$29</c:f>
              <c:strCache>
                <c:ptCount val="9"/>
                <c:pt idx="0">
                  <c:v>2016</c:v>
                </c:pt>
                <c:pt idx="1">
                  <c:v>2017</c:v>
                </c:pt>
                <c:pt idx="2">
                  <c:v>2018</c:v>
                </c:pt>
                <c:pt idx="3">
                  <c:v>2019</c:v>
                </c:pt>
                <c:pt idx="4">
                  <c:v>2020</c:v>
                </c:pt>
                <c:pt idx="5">
                  <c:v>2021</c:v>
                </c:pt>
                <c:pt idx="6">
                  <c:v>2022</c:v>
                </c:pt>
                <c:pt idx="7">
                  <c:v>2023</c:v>
                </c:pt>
                <c:pt idx="8">
                  <c:v>2024</c:v>
                </c:pt>
              </c:strCache>
            </c:strRef>
          </c:cat>
          <c:val>
            <c:numRef>
              <c:f>'PIVOT SUMMARY'!$B$20:$B$29</c:f>
              <c:numCache>
                <c:formatCode>General</c:formatCode>
                <c:ptCount val="9"/>
                <c:pt idx="0">
                  <c:v>22</c:v>
                </c:pt>
                <c:pt idx="1">
                  <c:v>18</c:v>
                </c:pt>
                <c:pt idx="2">
                  <c:v>16</c:v>
                </c:pt>
                <c:pt idx="3">
                  <c:v>20</c:v>
                </c:pt>
                <c:pt idx="4">
                  <c:v>18</c:v>
                </c:pt>
                <c:pt idx="5">
                  <c:v>15</c:v>
                </c:pt>
                <c:pt idx="6">
                  <c:v>26</c:v>
                </c:pt>
                <c:pt idx="7">
                  <c:v>21</c:v>
                </c:pt>
                <c:pt idx="8">
                  <c:v>23</c:v>
                </c:pt>
              </c:numCache>
            </c:numRef>
          </c:val>
          <c:smooth val="0"/>
          <c:extLst>
            <c:ext xmlns:c16="http://schemas.microsoft.com/office/drawing/2014/chart" uri="{C3380CC4-5D6E-409C-BE32-E72D297353CC}">
              <c16:uniqueId val="{00000000-8FEA-44AF-8E45-47DD54927D89}"/>
            </c:ext>
          </c:extLst>
        </c:ser>
        <c:ser>
          <c:idx val="1"/>
          <c:order val="1"/>
          <c:tx>
            <c:strRef>
              <c:f>'PIVOT SUMMARY'!$C$18:$C$19</c:f>
              <c:strCache>
                <c:ptCount val="1"/>
                <c:pt idx="0">
                  <c:v>Girls</c:v>
                </c:pt>
              </c:strCache>
            </c:strRef>
          </c:tx>
          <c:spPr>
            <a:ln w="28575" cap="rnd">
              <a:solidFill>
                <a:schemeClr val="accent2"/>
              </a:solidFill>
              <a:round/>
            </a:ln>
            <a:effectLst/>
          </c:spPr>
          <c:marker>
            <c:symbol val="none"/>
          </c:marker>
          <c:cat>
            <c:strRef>
              <c:f>'PIVOT SUMMARY'!$A$20:$A$29</c:f>
              <c:strCache>
                <c:ptCount val="9"/>
                <c:pt idx="0">
                  <c:v>2016</c:v>
                </c:pt>
                <c:pt idx="1">
                  <c:v>2017</c:v>
                </c:pt>
                <c:pt idx="2">
                  <c:v>2018</c:v>
                </c:pt>
                <c:pt idx="3">
                  <c:v>2019</c:v>
                </c:pt>
                <c:pt idx="4">
                  <c:v>2020</c:v>
                </c:pt>
                <c:pt idx="5">
                  <c:v>2021</c:v>
                </c:pt>
                <c:pt idx="6">
                  <c:v>2022</c:v>
                </c:pt>
                <c:pt idx="7">
                  <c:v>2023</c:v>
                </c:pt>
                <c:pt idx="8">
                  <c:v>2024</c:v>
                </c:pt>
              </c:strCache>
            </c:strRef>
          </c:cat>
          <c:val>
            <c:numRef>
              <c:f>'PIVOT SUMMARY'!$C$20:$C$29</c:f>
              <c:numCache>
                <c:formatCode>General</c:formatCode>
                <c:ptCount val="9"/>
                <c:pt idx="0">
                  <c:v>2</c:v>
                </c:pt>
                <c:pt idx="1">
                  <c:v>4</c:v>
                </c:pt>
                <c:pt idx="2">
                  <c:v>7</c:v>
                </c:pt>
                <c:pt idx="3">
                  <c:v>2</c:v>
                </c:pt>
                <c:pt idx="4">
                  <c:v>3</c:v>
                </c:pt>
                <c:pt idx="5">
                  <c:v>4</c:v>
                </c:pt>
                <c:pt idx="6">
                  <c:v>0</c:v>
                </c:pt>
                <c:pt idx="7">
                  <c:v>4</c:v>
                </c:pt>
                <c:pt idx="8">
                  <c:v>2</c:v>
                </c:pt>
              </c:numCache>
            </c:numRef>
          </c:val>
          <c:smooth val="0"/>
          <c:extLst>
            <c:ext xmlns:c16="http://schemas.microsoft.com/office/drawing/2014/chart" uri="{C3380CC4-5D6E-409C-BE32-E72D297353CC}">
              <c16:uniqueId val="{00000001-FFDA-4582-B1DF-2532769987A5}"/>
            </c:ext>
          </c:extLst>
        </c:ser>
        <c:ser>
          <c:idx val="2"/>
          <c:order val="2"/>
          <c:tx>
            <c:strRef>
              <c:f>'PIVOT SUMMARY'!$D$18:$D$19</c:f>
              <c:strCache>
                <c:ptCount val="1"/>
                <c:pt idx="0">
                  <c:v>Mixed</c:v>
                </c:pt>
              </c:strCache>
            </c:strRef>
          </c:tx>
          <c:spPr>
            <a:ln w="28575" cap="rnd">
              <a:solidFill>
                <a:schemeClr val="accent3"/>
              </a:solidFill>
              <a:round/>
            </a:ln>
            <a:effectLst/>
          </c:spPr>
          <c:marker>
            <c:symbol val="none"/>
          </c:marker>
          <c:cat>
            <c:strRef>
              <c:f>'PIVOT SUMMARY'!$A$20:$A$29</c:f>
              <c:strCache>
                <c:ptCount val="9"/>
                <c:pt idx="0">
                  <c:v>2016</c:v>
                </c:pt>
                <c:pt idx="1">
                  <c:v>2017</c:v>
                </c:pt>
                <c:pt idx="2">
                  <c:v>2018</c:v>
                </c:pt>
                <c:pt idx="3">
                  <c:v>2019</c:v>
                </c:pt>
                <c:pt idx="4">
                  <c:v>2020</c:v>
                </c:pt>
                <c:pt idx="5">
                  <c:v>2021</c:v>
                </c:pt>
                <c:pt idx="6">
                  <c:v>2022</c:v>
                </c:pt>
                <c:pt idx="7">
                  <c:v>2023</c:v>
                </c:pt>
                <c:pt idx="8">
                  <c:v>2024</c:v>
                </c:pt>
              </c:strCache>
            </c:strRef>
          </c:cat>
          <c:val>
            <c:numRef>
              <c:f>'PIVOT SUMMARY'!$D$20:$D$29</c:f>
              <c:numCache>
                <c:formatCode>General</c:formatCode>
                <c:ptCount val="9"/>
                <c:pt idx="0">
                  <c:v>16</c:v>
                </c:pt>
                <c:pt idx="1">
                  <c:v>18</c:v>
                </c:pt>
                <c:pt idx="2">
                  <c:v>17</c:v>
                </c:pt>
                <c:pt idx="3">
                  <c:v>18</c:v>
                </c:pt>
                <c:pt idx="4">
                  <c:v>19</c:v>
                </c:pt>
                <c:pt idx="5">
                  <c:v>21</c:v>
                </c:pt>
                <c:pt idx="6">
                  <c:v>14</c:v>
                </c:pt>
                <c:pt idx="7">
                  <c:v>15</c:v>
                </c:pt>
                <c:pt idx="8">
                  <c:v>15</c:v>
                </c:pt>
              </c:numCache>
            </c:numRef>
          </c:val>
          <c:smooth val="0"/>
          <c:extLst>
            <c:ext xmlns:c16="http://schemas.microsoft.com/office/drawing/2014/chart" uri="{C3380CC4-5D6E-409C-BE32-E72D297353CC}">
              <c16:uniqueId val="{00000002-FFDA-4582-B1DF-2532769987A5}"/>
            </c:ext>
          </c:extLst>
        </c:ser>
        <c:dLbls>
          <c:showLegendKey val="0"/>
          <c:showVal val="0"/>
          <c:showCatName val="0"/>
          <c:showSerName val="0"/>
          <c:showPercent val="0"/>
          <c:showBubbleSize val="0"/>
        </c:dLbls>
        <c:smooth val="0"/>
        <c:axId val="262291488"/>
        <c:axId val="262279008"/>
      </c:lineChart>
      <c:catAx>
        <c:axId val="26229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62279008"/>
        <c:crosses val="autoZero"/>
        <c:auto val="1"/>
        <c:lblAlgn val="ctr"/>
        <c:lblOffset val="100"/>
        <c:noMultiLvlLbl val="0"/>
      </c:catAx>
      <c:valAx>
        <c:axId val="26227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6229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[NSMQ DATA ANALYSIS.xlsx]PIVOT SUMMARY!pv_AvgPoints_Region.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Average Points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SUMMARY'!$H$18</c:f>
              <c:strCache>
                <c:ptCount val="1"/>
                <c:pt idx="0">
                  <c:v>Total</c:v>
                </c:pt>
              </c:strCache>
            </c:strRef>
          </c:tx>
          <c:spPr>
            <a:solidFill>
              <a:schemeClr val="accent1"/>
            </a:solidFill>
            <a:ln>
              <a:noFill/>
            </a:ln>
            <a:effectLst/>
          </c:spPr>
          <c:invertIfNegative val="0"/>
          <c:cat>
            <c:strRef>
              <c:f>'PIVOT SUMMARY'!$G$19:$G$33</c:f>
              <c:strCache>
                <c:ptCount val="14"/>
                <c:pt idx="0">
                  <c:v>Ahafo</c:v>
                </c:pt>
                <c:pt idx="1">
                  <c:v>Ashanti</c:v>
                </c:pt>
                <c:pt idx="2">
                  <c:v>Bono</c:v>
                </c:pt>
                <c:pt idx="3">
                  <c:v>Bono East</c:v>
                </c:pt>
                <c:pt idx="4">
                  <c:v>Central</c:v>
                </c:pt>
                <c:pt idx="5">
                  <c:v>Eastern</c:v>
                </c:pt>
                <c:pt idx="6">
                  <c:v>Greater Accra</c:v>
                </c:pt>
                <c:pt idx="7">
                  <c:v>Northern</c:v>
                </c:pt>
                <c:pt idx="8">
                  <c:v>Oti</c:v>
                </c:pt>
                <c:pt idx="9">
                  <c:v>Savana</c:v>
                </c:pt>
                <c:pt idx="10">
                  <c:v>Upper East</c:v>
                </c:pt>
                <c:pt idx="11">
                  <c:v>Upper West</c:v>
                </c:pt>
                <c:pt idx="12">
                  <c:v>Volta</c:v>
                </c:pt>
                <c:pt idx="13">
                  <c:v>Western</c:v>
                </c:pt>
              </c:strCache>
            </c:strRef>
          </c:cat>
          <c:val>
            <c:numRef>
              <c:f>'PIVOT SUMMARY'!$H$19:$H$33</c:f>
              <c:numCache>
                <c:formatCode>General</c:formatCode>
                <c:ptCount val="14"/>
                <c:pt idx="0">
                  <c:v>12</c:v>
                </c:pt>
                <c:pt idx="1">
                  <c:v>37.339768339768341</c:v>
                </c:pt>
                <c:pt idx="2">
                  <c:v>29.8</c:v>
                </c:pt>
                <c:pt idx="3">
                  <c:v>29.111111111111111</c:v>
                </c:pt>
                <c:pt idx="4">
                  <c:v>39.937172774869111</c:v>
                </c:pt>
                <c:pt idx="5">
                  <c:v>34.426035502958577</c:v>
                </c:pt>
                <c:pt idx="6">
                  <c:v>38.925675675675677</c:v>
                </c:pt>
                <c:pt idx="7">
                  <c:v>34</c:v>
                </c:pt>
                <c:pt idx="8">
                  <c:v>26.4</c:v>
                </c:pt>
                <c:pt idx="9">
                  <c:v>42</c:v>
                </c:pt>
                <c:pt idx="10">
                  <c:v>24.166666666666668</c:v>
                </c:pt>
                <c:pt idx="11">
                  <c:v>25.888888888888889</c:v>
                </c:pt>
                <c:pt idx="12">
                  <c:v>33.454545454545453</c:v>
                </c:pt>
                <c:pt idx="13">
                  <c:v>29.076923076923077</c:v>
                </c:pt>
              </c:numCache>
            </c:numRef>
          </c:val>
          <c:extLst>
            <c:ext xmlns:c16="http://schemas.microsoft.com/office/drawing/2014/chart" uri="{C3380CC4-5D6E-409C-BE32-E72D297353CC}">
              <c16:uniqueId val="{00000000-9564-43A5-A7FF-FA6FB0F68C5C}"/>
            </c:ext>
          </c:extLst>
        </c:ser>
        <c:dLbls>
          <c:showLegendKey val="0"/>
          <c:showVal val="0"/>
          <c:showCatName val="0"/>
          <c:showSerName val="0"/>
          <c:showPercent val="0"/>
          <c:showBubbleSize val="0"/>
        </c:dLbls>
        <c:gapWidth val="182"/>
        <c:axId val="471133760"/>
        <c:axId val="471134592"/>
      </c:barChart>
      <c:catAx>
        <c:axId val="47113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71134592"/>
        <c:crosses val="autoZero"/>
        <c:auto val="1"/>
        <c:lblAlgn val="ctr"/>
        <c:lblOffset val="100"/>
        <c:noMultiLvlLbl val="0"/>
      </c:catAx>
      <c:valAx>
        <c:axId val="47113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7113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17</xdr:row>
      <xdr:rowOff>38100</xdr:rowOff>
    </xdr:from>
    <xdr:to>
      <xdr:col>11</xdr:col>
      <xdr:colOff>466725</xdr:colOff>
      <xdr:row>31</xdr:row>
      <xdr:rowOff>28575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7360724-C181-41D2-BD24-01A0DD4796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67675" y="3114675"/>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447675</xdr:colOff>
      <xdr:row>16</xdr:row>
      <xdr:rowOff>171450</xdr:rowOff>
    </xdr:from>
    <xdr:to>
      <xdr:col>17</xdr:col>
      <xdr:colOff>219075</xdr:colOff>
      <xdr:row>30</xdr:row>
      <xdr:rowOff>161925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0E008919-3E62-4A59-8BAA-80CDBC833D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44350" y="3067050"/>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352425</xdr:colOff>
      <xdr:row>16</xdr:row>
      <xdr:rowOff>152400</xdr:rowOff>
    </xdr:from>
    <xdr:to>
      <xdr:col>20</xdr:col>
      <xdr:colOff>123825</xdr:colOff>
      <xdr:row>30</xdr:row>
      <xdr:rowOff>142875</xdr:rowOff>
    </xdr:to>
    <mc:AlternateContent xmlns:mc="http://schemas.openxmlformats.org/markup-compatibility/2006" xmlns:a14="http://schemas.microsoft.com/office/drawing/2010/main">
      <mc:Choice Requires="a14">
        <xdr:graphicFrame macro="">
          <xdr:nvGraphicFramePr>
            <xdr:cNvPr id="13" name="Stage">
              <a:extLst>
                <a:ext uri="{FF2B5EF4-FFF2-40B4-BE49-F238E27FC236}">
                  <a16:creationId xmlns:a16="http://schemas.microsoft.com/office/drawing/2014/main" id="{D51D249D-CA4D-41EA-BBE2-3983C0728E48}"/>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3906500" y="3048000"/>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17</xdr:row>
      <xdr:rowOff>28575</xdr:rowOff>
    </xdr:from>
    <xdr:to>
      <xdr:col>14</xdr:col>
      <xdr:colOff>342900</xdr:colOff>
      <xdr:row>31</xdr:row>
      <xdr:rowOff>19050</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27B3EDBE-65EF-4E48-AE15-F8F734E229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10775" y="3105150"/>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171450</xdr:rowOff>
    </xdr:from>
    <xdr:to>
      <xdr:col>6</xdr:col>
      <xdr:colOff>9525</xdr:colOff>
      <xdr:row>19</xdr:row>
      <xdr:rowOff>171450</xdr:rowOff>
    </xdr:to>
    <xdr:graphicFrame macro="">
      <xdr:nvGraphicFramePr>
        <xdr:cNvPr id="2" name="Chart 4">
          <a:extLst>
            <a:ext uri="{FF2B5EF4-FFF2-40B4-BE49-F238E27FC236}">
              <a16:creationId xmlns:a16="http://schemas.microsoft.com/office/drawing/2014/main" id="{AFDAFB2A-3DFF-4307-A71E-2F7984EF1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9525</xdr:rowOff>
    </xdr:from>
    <xdr:to>
      <xdr:col>13</xdr:col>
      <xdr:colOff>19050</xdr:colOff>
      <xdr:row>20</xdr:row>
      <xdr:rowOff>38100</xdr:rowOff>
    </xdr:to>
    <xdr:graphicFrame macro="">
      <xdr:nvGraphicFramePr>
        <xdr:cNvPr id="4" name="Chart 6">
          <a:extLst>
            <a:ext uri="{FF2B5EF4-FFF2-40B4-BE49-F238E27FC236}">
              <a16:creationId xmlns:a16="http://schemas.microsoft.com/office/drawing/2014/main" id="{F3A60F67-092A-4610-9C42-C657028CF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4762</xdr:colOff>
      <xdr:row>5</xdr:row>
      <xdr:rowOff>0</xdr:rowOff>
    </xdr:from>
    <xdr:to>
      <xdr:col>21</xdr:col>
      <xdr:colOff>19050</xdr:colOff>
      <xdr:row>20</xdr:row>
      <xdr:rowOff>28575</xdr:rowOff>
    </xdr:to>
    <xdr:graphicFrame macro="">
      <xdr:nvGraphicFramePr>
        <xdr:cNvPr id="5" name="Chart 7">
          <a:extLst>
            <a:ext uri="{FF2B5EF4-FFF2-40B4-BE49-F238E27FC236}">
              <a16:creationId xmlns:a16="http://schemas.microsoft.com/office/drawing/2014/main" id="{E88372FC-902B-4AD1-9008-3E4C49B97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0</xdr:rowOff>
    </xdr:from>
    <xdr:to>
      <xdr:col>5</xdr:col>
      <xdr:colOff>676275</xdr:colOff>
      <xdr:row>38</xdr:row>
      <xdr:rowOff>28575</xdr:rowOff>
    </xdr:to>
    <xdr:graphicFrame macro="">
      <xdr:nvGraphicFramePr>
        <xdr:cNvPr id="6" name="Chart 8">
          <a:extLst>
            <a:ext uri="{FF2B5EF4-FFF2-40B4-BE49-F238E27FC236}">
              <a16:creationId xmlns:a16="http://schemas.microsoft.com/office/drawing/2014/main" id="{0B24DD3D-BC0F-4A3D-B90F-6BB0F208D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14287</xdr:colOff>
      <xdr:row>22</xdr:row>
      <xdr:rowOff>161925</xdr:rowOff>
    </xdr:from>
    <xdr:to>
      <xdr:col>13</xdr:col>
      <xdr:colOff>0</xdr:colOff>
      <xdr:row>38</xdr:row>
      <xdr:rowOff>9525</xdr:rowOff>
    </xdr:to>
    <xdr:graphicFrame macro="">
      <xdr:nvGraphicFramePr>
        <xdr:cNvPr id="7" name="Chart 9">
          <a:extLst>
            <a:ext uri="{FF2B5EF4-FFF2-40B4-BE49-F238E27FC236}">
              <a16:creationId xmlns:a16="http://schemas.microsoft.com/office/drawing/2014/main" id="{51B93AFB-359B-4A36-91A5-791F97470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23</xdr:row>
      <xdr:rowOff>0</xdr:rowOff>
    </xdr:from>
    <xdr:to>
      <xdr:col>16</xdr:col>
      <xdr:colOff>457200</xdr:colOff>
      <xdr:row>36</xdr:row>
      <xdr:rowOff>171450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022CD95-C602-48ED-BDC2-F1B374BB47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01200" y="4162425"/>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23</xdr:row>
      <xdr:rowOff>9525</xdr:rowOff>
    </xdr:from>
    <xdr:to>
      <xdr:col>22</xdr:col>
      <xdr:colOff>457200</xdr:colOff>
      <xdr:row>37</xdr:row>
      <xdr:rowOff>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242F911C-0C50-483D-9201-C10FBA21D0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716000" y="4171950"/>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352425</xdr:colOff>
      <xdr:row>38</xdr:row>
      <xdr:rowOff>104775</xdr:rowOff>
    </xdr:from>
    <xdr:to>
      <xdr:col>18</xdr:col>
      <xdr:colOff>123825</xdr:colOff>
      <xdr:row>52</xdr:row>
      <xdr:rowOff>95250</xdr:rowOff>
    </xdr:to>
    <mc:AlternateContent xmlns:mc="http://schemas.openxmlformats.org/markup-compatibility/2006" xmlns:a14="http://schemas.microsoft.com/office/drawing/2010/main">
      <mc:Choice Requires="a14">
        <xdr:graphicFrame macro="">
          <xdr:nvGraphicFramePr>
            <xdr:cNvPr id="10" name="Stage 1">
              <a:extLst>
                <a:ext uri="{FF2B5EF4-FFF2-40B4-BE49-F238E27FC236}">
                  <a16:creationId xmlns:a16="http://schemas.microsoft.com/office/drawing/2014/main" id="{F6057B8C-615A-43FA-887F-92B9043523F2}"/>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0639425" y="6981825"/>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xdr:colOff>
      <xdr:row>23</xdr:row>
      <xdr:rowOff>0</xdr:rowOff>
    </xdr:from>
    <xdr:to>
      <xdr:col>19</xdr:col>
      <xdr:colOff>466725</xdr:colOff>
      <xdr:row>36</xdr:row>
      <xdr:rowOff>171450</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27C35D0A-5FB2-433A-B9E7-7140FFBD7E1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668125" y="4162425"/>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114300</xdr:rowOff>
    </xdr:from>
    <xdr:to>
      <xdr:col>16</xdr:col>
      <xdr:colOff>619125</xdr:colOff>
      <xdr:row>3</xdr:row>
      <xdr:rowOff>171450</xdr:rowOff>
    </xdr:to>
    <xdr:sp macro="" textlink="">
      <xdr:nvSpPr>
        <xdr:cNvPr id="3" name="TextBox 2">
          <a:extLst>
            <a:ext uri="{FF2B5EF4-FFF2-40B4-BE49-F238E27FC236}">
              <a16:creationId xmlns:a16="http://schemas.microsoft.com/office/drawing/2014/main" id="{007CE434-9C75-4CA6-A1EC-558E3541305C}"/>
            </a:ext>
          </a:extLst>
        </xdr:cNvPr>
        <xdr:cNvSpPr txBox="1"/>
      </xdr:nvSpPr>
      <xdr:spPr>
        <a:xfrm>
          <a:off x="0" y="114300"/>
          <a:ext cx="11591925" cy="6000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rgbClr val="002060"/>
              </a:solidFill>
            </a:rPr>
            <a:t>GENDER</a:t>
          </a:r>
          <a:r>
            <a:rPr lang="en-US" sz="3200" baseline="0">
              <a:solidFill>
                <a:srgbClr val="002060"/>
              </a:solidFill>
            </a:rPr>
            <a:t> AND NSMQ PERFORMANCE DASHBOARD (2016-2024)</a:t>
          </a:r>
          <a:endParaRPr lang="en-GH" sz="3200">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phia Gyan" refreshedDate="45936.844628009261" createdVersion="7" refreshedVersion="7" minRefreshableVersion="3" recordCount="1080" xr:uid="{89B9BA1C-9311-4F06-A20B-90F4B62D0F20}">
  <cacheSource type="worksheet">
    <worksheetSource name="NSMQ"/>
  </cacheSource>
  <cacheFields count="13">
    <cacheField name="School" numFmtId="0">
      <sharedItems/>
    </cacheField>
    <cacheField name="Full name" numFmtId="0">
      <sharedItems/>
    </cacheField>
    <cacheField name="Region" numFmtId="0">
      <sharedItems count="14">
        <s v="Greater Accra"/>
        <s v="Ashanti"/>
        <s v="Central"/>
        <s v="Volta"/>
        <s v="Eastern"/>
        <s v="Western"/>
        <s v="Bono"/>
        <s v="Northern"/>
        <s v="Upper West"/>
        <s v="Bono East"/>
        <s v="Upper East"/>
        <s v="Ahafo"/>
        <s v="Oti"/>
        <s v="Savana"/>
      </sharedItems>
    </cacheField>
    <cacheField name="Gender" numFmtId="0">
      <sharedItems count="3">
        <s v="Boys"/>
        <s v="Mixed"/>
        <s v="Girls"/>
      </sharedItems>
    </cacheField>
    <cacheField name="Stage" numFmtId="0">
      <sharedItems containsSemiMixedTypes="0" containsString="0" containsNumber="1" minValue="0.125" maxValue="1" count="4">
        <n v="1"/>
        <n v="0.5"/>
        <n v="0.25"/>
        <n v="0.125"/>
      </sharedItems>
    </cacheField>
    <cacheField name="Points" numFmtId="0">
      <sharedItems containsSemiMixedTypes="0" containsString="0" containsNumber="1" containsInteger="1" minValue="1" maxValue="82"/>
    </cacheField>
    <cacheField name="Contest Position" numFmtId="0">
      <sharedItems containsSemiMixedTypes="0" containsString="0" containsNumber="1" containsInteger="1" minValue="1" maxValue="3"/>
    </cacheField>
    <cacheField name="Year" numFmtId="0">
      <sharedItems containsSemiMixedTypes="0" containsString="0" containsNumber="1" containsInteger="1" minValue="2016" maxValue="2024" count="9">
        <n v="2023"/>
        <n v="2022"/>
        <n v="2021"/>
        <n v="2020"/>
        <n v="2019"/>
        <n v="2018"/>
        <n v="2017"/>
        <n v="2016"/>
        <n v="2024"/>
      </sharedItems>
    </cacheField>
    <cacheField name="Contest_id" numFmtId="0">
      <sharedItems/>
    </cacheField>
    <cacheField name="Stage Name" numFmtId="0">
      <sharedItems/>
    </cacheField>
    <cacheField name="Win Flag" numFmtId="0">
      <sharedItems containsSemiMixedTypes="0" containsString="0" containsNumber="1" containsInteger="1" minValue="0" maxValue="1"/>
    </cacheField>
    <cacheField name="Zone Mapping" numFmtId="0">
      <sharedItems/>
    </cacheField>
    <cacheField name="Win Rate" numFmtId="0">
      <sharedItems containsSemiMixedTypes="0" containsString="0" containsNumber="1" minValue="0" maxValue="1"/>
    </cacheField>
  </cacheFields>
  <extLst>
    <ext xmlns:x14="http://schemas.microsoft.com/office/spreadsheetml/2009/9/main" uri="{725AE2AE-9491-48be-B2B4-4EB974FC3084}">
      <x14:pivotCacheDefinition pivotCacheId="1717470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0">
  <r>
    <s v="Presec Legon"/>
    <s v="Presbyterian Boys' Senior High School"/>
    <x v="0"/>
    <x v="0"/>
    <x v="0"/>
    <n v="40"/>
    <n v="1"/>
    <x v="0"/>
    <s v="2023_1.0_Presec Legon"/>
    <s v="Final"/>
    <n v="1"/>
    <s v="Coastal"/>
    <n v="0.5"/>
  </r>
  <r>
    <s v="Achimota"/>
    <s v="Achimota School"/>
    <x v="0"/>
    <x v="1"/>
    <x v="0"/>
    <n v="28"/>
    <n v="2"/>
    <x v="0"/>
    <s v="2023_1.0_Presec Legon"/>
    <s v="Final"/>
    <n v="0"/>
    <s v="Coastal"/>
    <n v="0.25"/>
  </r>
  <r>
    <s v="Owass"/>
    <s v="Opoku Ware Senior High School"/>
    <x v="1"/>
    <x v="0"/>
    <x v="0"/>
    <n v="23"/>
    <n v="3"/>
    <x v="0"/>
    <s v="2023_1.0_Presec Legon"/>
    <s v="Final"/>
    <n v="0"/>
    <s v="Middle Belt"/>
    <n v="0.16666666666666666"/>
  </r>
  <r>
    <s v="Presec Legon"/>
    <s v="Presbyterian Boys' Senior High School"/>
    <x v="0"/>
    <x v="0"/>
    <x v="1"/>
    <n v="44"/>
    <n v="1"/>
    <x v="0"/>
    <s v="2023_0.5_Presec Legon"/>
    <s v="Semifinal"/>
    <n v="1"/>
    <s v="Coastal"/>
    <n v="0.5"/>
  </r>
  <r>
    <s v="Mfantsipim"/>
    <s v="Mfantsipim School"/>
    <x v="2"/>
    <x v="0"/>
    <x v="1"/>
    <n v="40"/>
    <n v="2"/>
    <x v="0"/>
    <s v="2023_0.5_Presec Legon"/>
    <s v="Semifinal"/>
    <n v="0"/>
    <s v="Coastal"/>
    <n v="0.25"/>
  </r>
  <r>
    <s v="Keta"/>
    <s v="Keta Senior High Technical School"/>
    <x v="3"/>
    <x v="1"/>
    <x v="1"/>
    <n v="39"/>
    <n v="3"/>
    <x v="0"/>
    <s v="2023_0.5_Presec Legon"/>
    <s v="Semifinal"/>
    <n v="0"/>
    <s v="Coastal"/>
    <n v="0.16666666666666666"/>
  </r>
  <r>
    <s v="Achimota"/>
    <s v="Achimota School"/>
    <x v="0"/>
    <x v="1"/>
    <x v="1"/>
    <n v="41"/>
    <n v="1"/>
    <x v="0"/>
    <s v="2023_0.5_Achimota"/>
    <s v="Semifinal"/>
    <n v="1"/>
    <s v="Coastal"/>
    <n v="0.5"/>
  </r>
  <r>
    <s v="Wegehey"/>
    <s v="Wesley Girls' Senior High School"/>
    <x v="2"/>
    <x v="2"/>
    <x v="1"/>
    <n v="31"/>
    <n v="2"/>
    <x v="0"/>
    <s v="2023_0.5_Achimota"/>
    <s v="Semifinal"/>
    <n v="0"/>
    <s v="Coastal"/>
    <n v="0.25"/>
  </r>
  <r>
    <s v="St. Louis"/>
    <s v="St. Louis Senior High School"/>
    <x v="1"/>
    <x v="2"/>
    <x v="1"/>
    <n v="26"/>
    <n v="3"/>
    <x v="0"/>
    <s v="2023_0.5_Achimota"/>
    <s v="Semifinal"/>
    <n v="0"/>
    <s v="Middle Belt"/>
    <n v="0.16666666666666666"/>
  </r>
  <r>
    <s v="Owass"/>
    <s v="Opoku Ware Senior High School"/>
    <x v="1"/>
    <x v="0"/>
    <x v="1"/>
    <n v="38"/>
    <n v="1"/>
    <x v="0"/>
    <s v="2023_0.5_Owass"/>
    <s v="Semifinal"/>
    <n v="1"/>
    <s v="Middle Belt"/>
    <n v="0.25"/>
  </r>
  <r>
    <s v="Prempeh"/>
    <s v="Prempeh College"/>
    <x v="1"/>
    <x v="0"/>
    <x v="1"/>
    <n v="36"/>
    <n v="2"/>
    <x v="0"/>
    <s v="2023_0.5_Owass"/>
    <s v="Semifinal"/>
    <n v="0"/>
    <s v="Middle Belt"/>
    <n v="0.125"/>
  </r>
  <r>
    <s v="PJ"/>
    <s v="Pope John Senior High School and Minor Seminary"/>
    <x v="4"/>
    <x v="0"/>
    <x v="1"/>
    <n v="36"/>
    <n v="3"/>
    <x v="0"/>
    <s v="2023_0.5_Owass"/>
    <s v="Semifinal"/>
    <n v="0"/>
    <s v="Middle Belt"/>
    <n v="8.3333333333333329E-2"/>
  </r>
  <r>
    <s v="Prempeh"/>
    <s v="Prempeh College"/>
    <x v="1"/>
    <x v="0"/>
    <x v="2"/>
    <n v="57"/>
    <n v="1"/>
    <x v="0"/>
    <s v="2023_0.25_Prempeh"/>
    <s v="Quarterfinal"/>
    <n v="1"/>
    <s v="Middle Belt"/>
    <n v="0.25"/>
  </r>
  <r>
    <s v="Mawuli"/>
    <s v="Mawuli School"/>
    <x v="3"/>
    <x v="1"/>
    <x v="2"/>
    <n v="33"/>
    <n v="2"/>
    <x v="0"/>
    <s v="2023_0.25_Prempeh"/>
    <s v="Quarterfinal"/>
    <n v="0"/>
    <s v="Coastal"/>
    <n v="0.125"/>
  </r>
  <r>
    <s v="Presec Abetifi"/>
    <s v="Abetifi Presbyterian Senior High School"/>
    <x v="4"/>
    <x v="1"/>
    <x v="2"/>
    <n v="30"/>
    <n v="3"/>
    <x v="0"/>
    <s v="2023_0.25_Prempeh"/>
    <s v="Quarterfinal"/>
    <n v="0"/>
    <s v="Middle Belt"/>
    <n v="8.3333333333333329E-2"/>
  </r>
  <r>
    <s v="Presec Legon"/>
    <s v="Presbyterian Boys' Senior High School"/>
    <x v="0"/>
    <x v="0"/>
    <x v="2"/>
    <n v="63"/>
    <n v="1"/>
    <x v="0"/>
    <s v="2023_0.25_Presec Legon"/>
    <s v="Quarterfinal"/>
    <n v="1"/>
    <s v="Coastal"/>
    <n v="0.25"/>
  </r>
  <r>
    <s v="Accra Aca"/>
    <s v="Accra Academy"/>
    <x v="0"/>
    <x v="0"/>
    <x v="2"/>
    <n v="58"/>
    <n v="2"/>
    <x v="0"/>
    <s v="2023_0.25_Presec Legon"/>
    <s v="Quarterfinal"/>
    <n v="0"/>
    <s v="Coastal"/>
    <n v="0.125"/>
  </r>
  <r>
    <s v="GSTS"/>
    <s v="Ghana Secondary Technical School"/>
    <x v="5"/>
    <x v="0"/>
    <x v="2"/>
    <n v="31"/>
    <n v="3"/>
    <x v="0"/>
    <s v="2023_0.25_Presec Legon"/>
    <s v="Quarterfinal"/>
    <n v="0"/>
    <s v="Coastal"/>
    <n v="8.3333333333333329E-2"/>
  </r>
  <r>
    <s v="Achimota"/>
    <s v="Achimota School"/>
    <x v="0"/>
    <x v="1"/>
    <x v="2"/>
    <n v="34"/>
    <n v="1"/>
    <x v="0"/>
    <s v="2023_0.25_Achimota"/>
    <s v="Quarterfinal"/>
    <n v="1"/>
    <s v="Coastal"/>
    <n v="0.25"/>
  </r>
  <r>
    <s v="Kuhis"/>
    <s v="Kumasi High School"/>
    <x v="1"/>
    <x v="0"/>
    <x v="2"/>
    <n v="31"/>
    <n v="2"/>
    <x v="0"/>
    <s v="2023_0.25_Achimota"/>
    <s v="Quarterfinal"/>
    <n v="0"/>
    <s v="Middle Belt"/>
    <n v="0.125"/>
  </r>
  <r>
    <s v="OKESS"/>
    <s v="Osei Kyeretwie Senior High School"/>
    <x v="1"/>
    <x v="1"/>
    <x v="2"/>
    <n v="24"/>
    <n v="3"/>
    <x v="0"/>
    <s v="2023_0.25_Achimota"/>
    <s v="Quarterfinal"/>
    <n v="0"/>
    <s v="Middle Belt"/>
    <n v="8.3333333333333329E-2"/>
  </r>
  <r>
    <s v="Owass"/>
    <s v="Opoku Ware Senior High School"/>
    <x v="1"/>
    <x v="0"/>
    <x v="2"/>
    <n v="45"/>
    <n v="1"/>
    <x v="0"/>
    <s v="2023_0.25_Owass"/>
    <s v="Quarterfinal"/>
    <n v="1"/>
    <s v="Middle Belt"/>
    <n v="0.25"/>
  </r>
  <r>
    <s v="Osei Tutu"/>
    <s v="Osei Tutu Senior High School"/>
    <x v="1"/>
    <x v="0"/>
    <x v="2"/>
    <n v="43"/>
    <n v="2"/>
    <x v="0"/>
    <s v="2023_0.25_Owass"/>
    <s v="Quarterfinal"/>
    <n v="0"/>
    <s v="Middle Belt"/>
    <n v="0.125"/>
  </r>
  <r>
    <s v="St Johns School"/>
    <s v="St. John's School, Sekondi"/>
    <x v="5"/>
    <x v="0"/>
    <x v="2"/>
    <n v="18"/>
    <n v="3"/>
    <x v="0"/>
    <s v="2023_0.25_Owass"/>
    <s v="Quarterfinal"/>
    <n v="0"/>
    <s v="Coastal"/>
    <n v="8.3333333333333329E-2"/>
  </r>
  <r>
    <s v="St. Louis"/>
    <s v="St. Louis Senior High School"/>
    <x v="1"/>
    <x v="2"/>
    <x v="2"/>
    <n v="50"/>
    <n v="1"/>
    <x v="0"/>
    <s v="2023_0.25_St. Louis"/>
    <s v="Quarterfinal"/>
    <n v="1"/>
    <s v="Middle Belt"/>
    <n v="0.25"/>
  </r>
  <r>
    <s v="KASS"/>
    <s v="Anglican Senior High School, Kumasi"/>
    <x v="1"/>
    <x v="1"/>
    <x v="2"/>
    <n v="24"/>
    <n v="2"/>
    <x v="0"/>
    <s v="2023_0.25_St. Louis"/>
    <s v="Quarterfinal"/>
    <n v="0"/>
    <s v="Middle Belt"/>
    <n v="0.125"/>
  </r>
  <r>
    <s v="Wesley Grammar"/>
    <s v="Wesley Grammar Senior High School"/>
    <x v="0"/>
    <x v="1"/>
    <x v="2"/>
    <n v="21"/>
    <n v="3"/>
    <x v="0"/>
    <s v="2023_0.25_St. Louis"/>
    <s v="Quarterfinal"/>
    <n v="0"/>
    <s v="Coastal"/>
    <n v="8.3333333333333329E-2"/>
  </r>
  <r>
    <s v="Wegehey"/>
    <s v="Wesley Girls' Senior High School"/>
    <x v="2"/>
    <x v="2"/>
    <x v="2"/>
    <n v="35"/>
    <n v="1"/>
    <x v="0"/>
    <s v="2023_0.25_Wegehey"/>
    <s v="Quarterfinal"/>
    <n v="1"/>
    <s v="Coastal"/>
    <n v="0.25"/>
  </r>
  <r>
    <s v="Mpraeso"/>
    <s v="Mpraeso Senior High School"/>
    <x v="4"/>
    <x v="1"/>
    <x v="2"/>
    <n v="32"/>
    <n v="2"/>
    <x v="0"/>
    <s v="2023_0.25_Wegehey"/>
    <s v="Quarterfinal"/>
    <n v="0"/>
    <s v="Middle Belt"/>
    <n v="0.125"/>
  </r>
  <r>
    <s v="Biheco"/>
    <s v="Bishop Herman College"/>
    <x v="3"/>
    <x v="0"/>
    <x v="2"/>
    <n v="21"/>
    <n v="3"/>
    <x v="0"/>
    <s v="2023_0.25_Wegehey"/>
    <s v="Quarterfinal"/>
    <n v="0"/>
    <s v="Coastal"/>
    <n v="8.3333333333333329E-2"/>
  </r>
  <r>
    <s v="PJ"/>
    <s v="Pope John Senior High School and Minor Seminary"/>
    <x v="4"/>
    <x v="0"/>
    <x v="2"/>
    <n v="48"/>
    <n v="1"/>
    <x v="0"/>
    <s v="2023_0.25_PJ"/>
    <s v="Quarterfinal"/>
    <n v="1"/>
    <s v="Middle Belt"/>
    <n v="0.25"/>
  </r>
  <r>
    <s v="St. James"/>
    <s v="St. James Seminary and Senior High School"/>
    <x v="6"/>
    <x v="0"/>
    <x v="2"/>
    <n v="42"/>
    <n v="2"/>
    <x v="0"/>
    <s v="2023_0.25_PJ"/>
    <s v="Quarterfinal"/>
    <n v="0"/>
    <s v="Middle Belt"/>
    <n v="0.125"/>
  </r>
  <r>
    <s v="Presby SHTS Aburi"/>
    <s v="Aburi Presbyterian Senior High Technical School"/>
    <x v="4"/>
    <x v="1"/>
    <x v="2"/>
    <n v="20"/>
    <n v="3"/>
    <x v="0"/>
    <s v="2023_0.25_PJ"/>
    <s v="Quarterfinal"/>
    <n v="0"/>
    <s v="Middle Belt"/>
    <n v="8.3333333333333329E-2"/>
  </r>
  <r>
    <s v="Keta"/>
    <s v="Keta Senior High Technical School"/>
    <x v="3"/>
    <x v="1"/>
    <x v="2"/>
    <n v="44"/>
    <n v="1"/>
    <x v="0"/>
    <s v="2023_0.25_Keta"/>
    <s v="Quarterfinal"/>
    <n v="1"/>
    <s v="Coastal"/>
    <n v="0.25"/>
  </r>
  <r>
    <s v="Tamale SHS"/>
    <s v="Tamale SHS Senior High School"/>
    <x v="7"/>
    <x v="1"/>
    <x v="2"/>
    <n v="35"/>
    <n v="2"/>
    <x v="0"/>
    <s v="2023_0.25_Keta"/>
    <s v="Quarterfinal"/>
    <n v="0"/>
    <s v="Northern"/>
    <n v="0.125"/>
  </r>
  <r>
    <s v="Augusco"/>
    <s v="St. Augustine's College"/>
    <x v="2"/>
    <x v="0"/>
    <x v="2"/>
    <n v="32"/>
    <n v="3"/>
    <x v="0"/>
    <s v="2023_0.25_Keta"/>
    <s v="Quarterfinal"/>
    <n v="0"/>
    <s v="Coastal"/>
    <n v="8.3333333333333329E-2"/>
  </r>
  <r>
    <s v="Mfantsipim"/>
    <s v="Mfantsipim School"/>
    <x v="2"/>
    <x v="0"/>
    <x v="2"/>
    <n v="32"/>
    <n v="1"/>
    <x v="0"/>
    <s v="2023_0.25_Mfantsipim"/>
    <s v="Quarterfinal"/>
    <n v="1"/>
    <s v="Coastal"/>
    <n v="0.125"/>
  </r>
  <r>
    <s v="Yikrosec"/>
    <s v="Yilo Krobo Senior High Community School"/>
    <x v="4"/>
    <x v="1"/>
    <x v="2"/>
    <n v="29"/>
    <n v="2"/>
    <x v="0"/>
    <s v="2023_0.25_Mfantsipim"/>
    <s v="Quarterfinal"/>
    <n v="0"/>
    <s v="Middle Belt"/>
    <n v="6.25E-2"/>
  </r>
  <r>
    <s v="Kumasi sectec"/>
    <s v="Kumasi Senior High Technical School"/>
    <x v="1"/>
    <x v="1"/>
    <x v="2"/>
    <n v="28"/>
    <n v="3"/>
    <x v="0"/>
    <s v="2023_0.25_Mfantsipim"/>
    <s v="Quarterfinal"/>
    <n v="0"/>
    <s v="Middle Belt"/>
    <n v="4.1666666666666664E-2"/>
  </r>
  <r>
    <s v="Wegehey"/>
    <s v="Wesley Girls' Senior High School"/>
    <x v="2"/>
    <x v="2"/>
    <x v="3"/>
    <n v="54"/>
    <n v="1"/>
    <x v="0"/>
    <s v="2023_0.125_Wegehey"/>
    <s v="Preliminary"/>
    <n v="1"/>
    <s v="Coastal"/>
    <n v="0.125"/>
  </r>
  <r>
    <s v="Porters"/>
    <s v="Archbishop Porter Girls' Senior High School"/>
    <x v="5"/>
    <x v="2"/>
    <x v="3"/>
    <n v="25"/>
    <n v="2"/>
    <x v="0"/>
    <s v="2023_0.125_Wegehey"/>
    <s v="Preliminary"/>
    <n v="0"/>
    <s v="Coastal"/>
    <n v="6.25E-2"/>
  </r>
  <r>
    <s v="Ghanata"/>
    <s v="Ghanata Senior High School"/>
    <x v="0"/>
    <x v="1"/>
    <x v="3"/>
    <n v="24"/>
    <n v="3"/>
    <x v="0"/>
    <s v="2023_0.125_Wegehey"/>
    <s v="Preliminary"/>
    <n v="0"/>
    <s v="Coastal"/>
    <n v="4.1666666666666664E-2"/>
  </r>
  <r>
    <s v="PJ"/>
    <s v="Pope John Senior High School and Minor Seminary"/>
    <x v="4"/>
    <x v="0"/>
    <x v="3"/>
    <n v="56"/>
    <n v="1"/>
    <x v="0"/>
    <s v="2023_0.125_PJ"/>
    <s v="Preliminary"/>
    <n v="1"/>
    <s v="Middle Belt"/>
    <n v="0.125"/>
  </r>
  <r>
    <s v="Simms"/>
    <s v="Simms Senior High School"/>
    <x v="1"/>
    <x v="1"/>
    <x v="3"/>
    <n v="47"/>
    <n v="2"/>
    <x v="0"/>
    <s v="2023_0.125_PJ"/>
    <s v="Preliminary"/>
    <n v="0"/>
    <s v="Middle Belt"/>
    <n v="6.25E-2"/>
  </r>
  <r>
    <s v="Sunyani SHS"/>
    <s v="Sunyani Senior High School"/>
    <x v="6"/>
    <x v="1"/>
    <x v="3"/>
    <n v="29"/>
    <n v="3"/>
    <x v="0"/>
    <s v="2023_0.125_PJ"/>
    <s v="Preliminary"/>
    <n v="0"/>
    <s v="Middle Belt"/>
    <n v="4.1666666666666664E-2"/>
  </r>
  <r>
    <s v="OKESS"/>
    <s v="Osei Kyeretwie Senior High School"/>
    <x v="1"/>
    <x v="1"/>
    <x v="3"/>
    <n v="49"/>
    <n v="1"/>
    <x v="0"/>
    <s v="2023_0.125_OKESS"/>
    <s v="Preliminary"/>
    <n v="1"/>
    <s v="Middle Belt"/>
    <n v="0.125"/>
  </r>
  <r>
    <s v="St. Joseph Seminary"/>
    <s v="St. Joseph Seminary Senior High School"/>
    <x v="1"/>
    <x v="1"/>
    <x v="3"/>
    <n v="29"/>
    <n v="2"/>
    <x v="0"/>
    <s v="2023_0.125_OKESS"/>
    <s v="Preliminary"/>
    <n v="0"/>
    <s v="Middle Belt"/>
    <n v="6.25E-2"/>
  </r>
  <r>
    <s v="Notre Dame Girls"/>
    <s v="Notre Dame Girls Senior High School"/>
    <x v="6"/>
    <x v="2"/>
    <x v="3"/>
    <n v="27"/>
    <n v="3"/>
    <x v="0"/>
    <s v="2023_0.125_OKESS"/>
    <s v="Preliminary"/>
    <n v="0"/>
    <s v="Middle Belt"/>
    <n v="4.1666666666666664E-2"/>
  </r>
  <r>
    <s v="Kumasi sectec"/>
    <s v="Kumasi Senior High Technical School"/>
    <x v="1"/>
    <x v="1"/>
    <x v="3"/>
    <n v="50"/>
    <n v="1"/>
    <x v="0"/>
    <s v="2023_0.125_Kumasi sectec"/>
    <s v="Preliminary"/>
    <n v="1"/>
    <s v="Middle Belt"/>
    <n v="0.125"/>
  </r>
  <r>
    <s v="Chemu SHS"/>
    <s v="Chemu Senior High School"/>
    <x v="0"/>
    <x v="1"/>
    <x v="3"/>
    <n v="43"/>
    <n v="2"/>
    <x v="0"/>
    <s v="2023_0.125_Kumasi sectec"/>
    <s v="Preliminary"/>
    <n v="0"/>
    <s v="Coastal"/>
    <n v="6.25E-2"/>
  </r>
  <r>
    <s v="Obiri Yeboah"/>
    <s v="Obiri Yeboah Senior High School"/>
    <x v="2"/>
    <x v="1"/>
    <x v="3"/>
    <n v="33"/>
    <n v="3"/>
    <x v="0"/>
    <s v="2023_0.125_Kumasi sectec"/>
    <s v="Preliminary"/>
    <n v="0"/>
    <s v="Coastal"/>
    <n v="4.1666666666666664E-2"/>
  </r>
  <r>
    <s v="Kuhis"/>
    <s v="Kumasi High School"/>
    <x v="1"/>
    <x v="0"/>
    <x v="3"/>
    <n v="40"/>
    <n v="1"/>
    <x v="0"/>
    <s v="2023_0.125_Kuhis"/>
    <s v="Preliminary"/>
    <n v="1"/>
    <s v="Middle Belt"/>
    <n v="0.125"/>
  </r>
  <r>
    <s v="Okuapeman"/>
    <s v="Okuapeman Senior High School"/>
    <x v="4"/>
    <x v="1"/>
    <x v="3"/>
    <n v="36"/>
    <n v="2"/>
    <x v="0"/>
    <s v="2023_0.125_Kuhis"/>
    <s v="Preliminary"/>
    <n v="0"/>
    <s v="Middle Belt"/>
    <n v="6.25E-2"/>
  </r>
  <r>
    <s v="Anlo SHS"/>
    <s v="Anlo Senior High School"/>
    <x v="3"/>
    <x v="1"/>
    <x v="3"/>
    <n v="34"/>
    <n v="3"/>
    <x v="0"/>
    <s v="2023_0.125_Kuhis"/>
    <s v="Preliminary"/>
    <n v="0"/>
    <s v="Coastal"/>
    <n v="4.1666666666666664E-2"/>
  </r>
  <r>
    <s v="GSTS"/>
    <s v="Ghana Secondary Technical School"/>
    <x v="5"/>
    <x v="0"/>
    <x v="3"/>
    <n v="46"/>
    <n v="1"/>
    <x v="0"/>
    <s v="2023_0.125_GSTS"/>
    <s v="Preliminary"/>
    <n v="1"/>
    <s v="Coastal"/>
    <n v="0.125"/>
  </r>
  <r>
    <s v="Odorgonno"/>
    <s v="Odorgonno Senior High School"/>
    <x v="0"/>
    <x v="1"/>
    <x v="3"/>
    <n v="40"/>
    <n v="2"/>
    <x v="0"/>
    <s v="2023_0.125_GSTS"/>
    <s v="Preliminary"/>
    <n v="0"/>
    <s v="Coastal"/>
    <n v="6.25E-2"/>
  </r>
  <r>
    <s v="Xavier"/>
    <s v="St Francis Xavier Mnior Seminary"/>
    <x v="8"/>
    <x v="0"/>
    <x v="3"/>
    <n v="34"/>
    <n v="3"/>
    <x v="0"/>
    <s v="2023_0.125_GSTS"/>
    <s v="Preliminary"/>
    <n v="0"/>
    <s v="Northern"/>
    <n v="4.1666666666666664E-2"/>
  </r>
  <r>
    <s v="Mawuli"/>
    <s v="Mawuli School"/>
    <x v="3"/>
    <x v="1"/>
    <x v="3"/>
    <n v="52"/>
    <n v="1"/>
    <x v="0"/>
    <s v="2023_0.125_Mawuli"/>
    <s v="Preliminary"/>
    <n v="1"/>
    <s v="Coastal"/>
    <n v="0.125"/>
  </r>
  <r>
    <s v="Amaniampong SHS"/>
    <s v="Amaniampong Senior High School"/>
    <x v="1"/>
    <x v="1"/>
    <x v="3"/>
    <n v="37"/>
    <n v="2"/>
    <x v="0"/>
    <s v="2023_0.125_Mawuli"/>
    <s v="Preliminary"/>
    <n v="0"/>
    <s v="Middle Belt"/>
    <n v="6.25E-2"/>
  </r>
  <r>
    <s v="St. Catherine"/>
    <s v="St. Catherine Girls Senior High"/>
    <x v="3"/>
    <x v="2"/>
    <x v="3"/>
    <n v="31"/>
    <n v="3"/>
    <x v="0"/>
    <s v="2023_0.125_Mawuli"/>
    <s v="Preliminary"/>
    <n v="0"/>
    <s v="Coastal"/>
    <n v="4.1666666666666664E-2"/>
  </r>
  <r>
    <s v="Owass"/>
    <s v="Opoku Ware Senior High School"/>
    <x v="1"/>
    <x v="0"/>
    <x v="3"/>
    <n v="49"/>
    <n v="1"/>
    <x v="0"/>
    <s v="2023_0.125_Owass"/>
    <s v="Preliminary"/>
    <n v="1"/>
    <s v="Middle Belt"/>
    <n v="0.125"/>
  </r>
  <r>
    <s v="Tamale Islamic Science"/>
    <s v="Tamale Islamic Science Senior High"/>
    <x v="7"/>
    <x v="1"/>
    <x v="3"/>
    <n v="42"/>
    <n v="2"/>
    <x v="0"/>
    <s v="2023_0.125_Owass"/>
    <s v="Preliminary"/>
    <n v="0"/>
    <s v="Northern"/>
    <n v="6.25E-2"/>
  </r>
  <r>
    <s v="Nifa SHS"/>
    <s v="Nifa SHS Senior High School"/>
    <x v="4"/>
    <x v="1"/>
    <x v="3"/>
    <n v="20"/>
    <n v="3"/>
    <x v="0"/>
    <s v="2023_0.125_Owass"/>
    <s v="Preliminary"/>
    <n v="0"/>
    <s v="Middle Belt"/>
    <n v="4.1666666666666664E-2"/>
  </r>
  <r>
    <s v="Tamale SHS"/>
    <s v="Tamale SHS Senior High School"/>
    <x v="7"/>
    <x v="1"/>
    <x v="3"/>
    <n v="51"/>
    <n v="1"/>
    <x v="0"/>
    <s v="2023_0.125_Tamale SHS"/>
    <s v="Preliminary"/>
    <n v="1"/>
    <s v="Northern"/>
    <n v="0.125"/>
  </r>
  <r>
    <s v="Ashaiman SHS"/>
    <s v="Ashaiman Senior High School"/>
    <x v="0"/>
    <x v="1"/>
    <x v="3"/>
    <n v="47"/>
    <n v="2"/>
    <x v="0"/>
    <s v="2023_0.125_Tamale SHS"/>
    <s v="Preliminary"/>
    <n v="0"/>
    <s v="Coastal"/>
    <n v="6.25E-2"/>
  </r>
  <r>
    <s v="Krogiss"/>
    <s v="Krobo Girls' Senior High School"/>
    <x v="4"/>
    <x v="2"/>
    <x v="3"/>
    <n v="14"/>
    <n v="3"/>
    <x v="0"/>
    <s v="2023_0.125_Tamale SHS"/>
    <s v="Preliminary"/>
    <n v="0"/>
    <s v="Middle Belt"/>
    <n v="4.1666666666666664E-2"/>
  </r>
  <r>
    <s v="Biheco"/>
    <s v="Bishop Herman College"/>
    <x v="3"/>
    <x v="0"/>
    <x v="3"/>
    <n v="37"/>
    <n v="1"/>
    <x v="0"/>
    <s v="2023_0.125_Biheco"/>
    <s v="Preliminary"/>
    <n v="1"/>
    <s v="Coastal"/>
    <n v="0.125"/>
  </r>
  <r>
    <s v="Adidome SHS"/>
    <s v="Adidome Senior High School"/>
    <x v="3"/>
    <x v="1"/>
    <x v="3"/>
    <n v="31"/>
    <n v="2"/>
    <x v="0"/>
    <s v="2023_0.125_Biheco"/>
    <s v="Preliminary"/>
    <n v="0"/>
    <s v="Coastal"/>
    <n v="6.25E-2"/>
  </r>
  <r>
    <s v="Ola SHS"/>
    <s v="OLA Girls' Senior High School"/>
    <x v="3"/>
    <x v="2"/>
    <x v="3"/>
    <n v="24"/>
    <n v="3"/>
    <x v="0"/>
    <s v="2023_0.125_Biheco"/>
    <s v="Preliminary"/>
    <n v="0"/>
    <s v="Coastal"/>
    <n v="4.1666666666666664E-2"/>
  </r>
  <r>
    <s v="Mpraeso"/>
    <s v="Mpraeso Senior High School"/>
    <x v="4"/>
    <x v="1"/>
    <x v="3"/>
    <n v="43"/>
    <n v="1"/>
    <x v="0"/>
    <s v="2023_0.125_Mpraeso"/>
    <s v="Preliminary"/>
    <n v="1"/>
    <s v="Middle Belt"/>
    <n v="0.125"/>
  </r>
  <r>
    <s v="Ghana National"/>
    <s v="Ghana National College"/>
    <x v="2"/>
    <x v="1"/>
    <x v="3"/>
    <n v="39"/>
    <n v="2"/>
    <x v="0"/>
    <s v="2023_0.125_Mpraeso"/>
    <s v="Preliminary"/>
    <n v="0"/>
    <s v="Coastal"/>
    <n v="6.25E-2"/>
  </r>
  <r>
    <s v="Aggrey Memorial Zion SHS"/>
    <s v="Aggrey Memorial AME Zion Senior High"/>
    <x v="2"/>
    <x v="1"/>
    <x v="3"/>
    <n v="34"/>
    <n v="3"/>
    <x v="0"/>
    <s v="2023_0.125_Mpraeso"/>
    <s v="Preliminary"/>
    <n v="0"/>
    <s v="Coastal"/>
    <n v="4.1666666666666664E-2"/>
  </r>
  <r>
    <s v="Achimota"/>
    <s v="Achimota School"/>
    <x v="0"/>
    <x v="1"/>
    <x v="3"/>
    <n v="66"/>
    <n v="1"/>
    <x v="0"/>
    <s v="2023_0.125_Achimota"/>
    <s v="Preliminary"/>
    <n v="1"/>
    <s v="Coastal"/>
    <n v="0.125"/>
  </r>
  <r>
    <s v="Holico"/>
    <s v="Holico Senior High School"/>
    <x v="2"/>
    <x v="2"/>
    <x v="3"/>
    <n v="41"/>
    <n v="2"/>
    <x v="0"/>
    <s v="2023_0.125_Achimota"/>
    <s v="Preliminary"/>
    <n v="0"/>
    <s v="Coastal"/>
    <n v="6.25E-2"/>
  </r>
  <r>
    <s v="Assin State"/>
    <s v="Assin State College"/>
    <x v="2"/>
    <x v="1"/>
    <x v="3"/>
    <n v="30"/>
    <n v="3"/>
    <x v="0"/>
    <s v="2023_0.125_Achimota"/>
    <s v="Preliminary"/>
    <n v="0"/>
    <s v="Coastal"/>
    <n v="4.1666666666666664E-2"/>
  </r>
  <r>
    <s v="Wesley Grammar"/>
    <s v="Wesley Grammar Senior High School"/>
    <x v="0"/>
    <x v="1"/>
    <x v="3"/>
    <n v="31"/>
    <n v="1"/>
    <x v="0"/>
    <s v="2023_0.125_Wesley Grammar"/>
    <s v="Preliminary"/>
    <n v="1"/>
    <s v="Coastal"/>
    <n v="0.125"/>
  </r>
  <r>
    <s v="Tema Methodist"/>
    <s v="Tema Methodist Day Secondary School"/>
    <x v="0"/>
    <x v="1"/>
    <x v="3"/>
    <n v="31"/>
    <n v="2"/>
    <x v="0"/>
    <s v="2023_0.125_Wesley Grammar"/>
    <s v="Preliminary"/>
    <n v="0"/>
    <s v="Coastal"/>
    <n v="6.25E-2"/>
  </r>
  <r>
    <s v="Swedru SHS"/>
    <s v="Swedru Senior High School"/>
    <x v="2"/>
    <x v="1"/>
    <x v="3"/>
    <n v="28"/>
    <n v="3"/>
    <x v="0"/>
    <s v="2023_0.125_Wesley Grammar"/>
    <s v="Preliminary"/>
    <n v="0"/>
    <s v="Coastal"/>
    <n v="4.1666666666666664E-2"/>
  </r>
  <r>
    <s v="KASS"/>
    <s v="Anglican Senior High School, Kumasi"/>
    <x v="1"/>
    <x v="1"/>
    <x v="3"/>
    <n v="40"/>
    <n v="1"/>
    <x v="0"/>
    <s v="2023_0.125_KASS"/>
    <s v="Preliminary"/>
    <n v="1"/>
    <s v="Middle Belt"/>
    <n v="0.125"/>
  </r>
  <r>
    <s v="Adventist Bantama"/>
    <s v="Adventist Senior High School"/>
    <x v="1"/>
    <x v="1"/>
    <x v="3"/>
    <n v="39"/>
    <n v="2"/>
    <x v="0"/>
    <s v="2023_0.125_KASS"/>
    <s v="Preliminary"/>
    <n v="0"/>
    <s v="Middle Belt"/>
    <n v="6.25E-2"/>
  </r>
  <r>
    <s v="St Charles"/>
    <s v="St. Charles Minor Seminary / Senior High School"/>
    <x v="7"/>
    <x v="0"/>
    <x v="3"/>
    <n v="16"/>
    <n v="3"/>
    <x v="0"/>
    <s v="2023_0.125_KASS"/>
    <s v="Preliminary"/>
    <n v="0"/>
    <s v="Northern"/>
    <n v="4.1666666666666664E-2"/>
  </r>
  <r>
    <s v="St. Louis"/>
    <s v="St. Louis Senior High School"/>
    <x v="1"/>
    <x v="2"/>
    <x v="3"/>
    <n v="53"/>
    <n v="1"/>
    <x v="0"/>
    <s v="2023_0.125_St. Louis"/>
    <s v="Preliminary"/>
    <n v="1"/>
    <s v="Middle Belt"/>
    <n v="0.125"/>
  </r>
  <r>
    <s v="Adisco"/>
    <s v="Adisadel College"/>
    <x v="2"/>
    <x v="0"/>
    <x v="3"/>
    <n v="23"/>
    <n v="2"/>
    <x v="0"/>
    <s v="2023_0.125_St. Louis"/>
    <s v="Preliminary"/>
    <n v="0"/>
    <s v="Coastal"/>
    <n v="6.25E-2"/>
  </r>
  <r>
    <s v="Abusco"/>
    <s v="Abuakwa State College"/>
    <x v="4"/>
    <x v="1"/>
    <x v="3"/>
    <n v="19"/>
    <n v="3"/>
    <x v="0"/>
    <s v="2023_0.125_St. Louis"/>
    <s v="Preliminary"/>
    <n v="0"/>
    <s v="Middle Belt"/>
    <n v="4.1666666666666664E-2"/>
  </r>
  <r>
    <s v="Osei Tutu"/>
    <s v="Osei Tutu Senior High School"/>
    <x v="1"/>
    <x v="0"/>
    <x v="3"/>
    <n v="42"/>
    <n v="1"/>
    <x v="0"/>
    <s v="2023_0.125_Osei Tutu"/>
    <s v="Preliminary"/>
    <n v="1"/>
    <s v="Middle Belt"/>
    <n v="0.125"/>
  </r>
  <r>
    <s v="Unipra"/>
    <s v="University Practice Senior High School"/>
    <x v="2"/>
    <x v="1"/>
    <x v="3"/>
    <n v="36"/>
    <n v="2"/>
    <x v="0"/>
    <s v="2023_0.125_Osei Tutu"/>
    <s v="Preliminary"/>
    <n v="0"/>
    <s v="Coastal"/>
    <n v="6.25E-2"/>
  </r>
  <r>
    <s v="Winneba SHS"/>
    <s v="Winneba Senior High School"/>
    <x v="2"/>
    <x v="1"/>
    <x v="3"/>
    <n v="20"/>
    <n v="3"/>
    <x v="0"/>
    <s v="2023_0.125_Osei Tutu"/>
    <s v="Preliminary"/>
    <n v="0"/>
    <s v="Coastal"/>
    <n v="4.1666666666666664E-2"/>
  </r>
  <r>
    <s v="St Johns School"/>
    <s v="St. John's School, Sekondi"/>
    <x v="5"/>
    <x v="0"/>
    <x v="3"/>
    <n v="38"/>
    <n v="1"/>
    <x v="0"/>
    <s v="2023_0.125_St Johns School"/>
    <s v="Preliminary"/>
    <n v="1"/>
    <s v="Coastal"/>
    <n v="0.125"/>
  </r>
  <r>
    <s v="St Mary's Boys'"/>
    <s v="St Mary's Boys' Senior High School"/>
    <x v="5"/>
    <x v="0"/>
    <x v="3"/>
    <n v="36"/>
    <n v="2"/>
    <x v="0"/>
    <s v="2023_0.125_St Johns School"/>
    <s v="Preliminary"/>
    <n v="0"/>
    <s v="Coastal"/>
    <n v="6.25E-2"/>
  </r>
  <r>
    <s v="Ghana SHS Koforidua"/>
    <s v="Ghana Senior High School, Koforidua"/>
    <x v="4"/>
    <x v="1"/>
    <x v="3"/>
    <n v="27"/>
    <n v="3"/>
    <x v="0"/>
    <s v="2023_0.125_St Johns School"/>
    <s v="Preliminary"/>
    <n v="0"/>
    <s v="Middle Belt"/>
    <n v="4.1666666666666664E-2"/>
  </r>
  <r>
    <s v="St. James"/>
    <s v="St. James Seminary and Senior High School"/>
    <x v="6"/>
    <x v="0"/>
    <x v="3"/>
    <n v="44"/>
    <n v="1"/>
    <x v="0"/>
    <s v="2023_0.125_St. James"/>
    <s v="Preliminary"/>
    <n v="1"/>
    <s v="Middle Belt"/>
    <n v="0.125"/>
  </r>
  <r>
    <s v="Our Lady of Mt. Carmel Girls"/>
    <s v="Our Lady of Mt. Carmel Girls Senior High School"/>
    <x v="9"/>
    <x v="2"/>
    <x v="3"/>
    <n v="44"/>
    <n v="2"/>
    <x v="0"/>
    <s v="2023_0.125_St. James"/>
    <s v="Preliminary"/>
    <n v="0"/>
    <s v="Middle Belt"/>
    <n v="6.25E-2"/>
  </r>
  <r>
    <s v="Aquinas"/>
    <s v="St. Thomas Aquinas Senior High School"/>
    <x v="0"/>
    <x v="0"/>
    <x v="3"/>
    <n v="31"/>
    <n v="3"/>
    <x v="0"/>
    <s v="2023_0.125_St. James"/>
    <s v="Preliminary"/>
    <n v="0"/>
    <s v="Coastal"/>
    <n v="4.1666666666666664E-2"/>
  </r>
  <r>
    <s v="Presby SHTS Aburi"/>
    <s v="Aburi Presbyterian Senior High Technical School"/>
    <x v="4"/>
    <x v="1"/>
    <x v="3"/>
    <n v="47"/>
    <n v="1"/>
    <x v="0"/>
    <s v="2023_0.125_Presby SHTS Aburi"/>
    <s v="Preliminary"/>
    <n v="1"/>
    <s v="Middle Belt"/>
    <n v="0.125"/>
  </r>
  <r>
    <s v="KNUST SHS"/>
    <s v="KNUST Senior High School"/>
    <x v="1"/>
    <x v="1"/>
    <x v="3"/>
    <n v="33"/>
    <n v="2"/>
    <x v="0"/>
    <s v="2023_0.125_Presby SHTS Aburi"/>
    <s v="Preliminary"/>
    <n v="0"/>
    <s v="Middle Belt"/>
    <n v="6.25E-2"/>
  </r>
  <r>
    <s v="TI Amass Kumasi"/>
    <s v="TI Ahmadiyya Senior High School, Kumasi"/>
    <x v="1"/>
    <x v="1"/>
    <x v="3"/>
    <n v="32"/>
    <n v="3"/>
    <x v="0"/>
    <s v="2023_0.125_Presby SHTS Aburi"/>
    <s v="Preliminary"/>
    <n v="0"/>
    <s v="Middle Belt"/>
    <n v="4.1666666666666664E-2"/>
  </r>
  <r>
    <s v="Presec Abetifi"/>
    <s v="Abetifi Presbyterian Senior High School"/>
    <x v="4"/>
    <x v="1"/>
    <x v="3"/>
    <n v="45"/>
    <n v="1"/>
    <x v="0"/>
    <s v="2023_0.125_Presec Abetifi"/>
    <s v="Preliminary"/>
    <n v="1"/>
    <s v="Middle Belt"/>
    <n v="0.125"/>
  </r>
  <r>
    <s v="Labone SHS"/>
    <s v="Labone Senior High School"/>
    <x v="0"/>
    <x v="1"/>
    <x v="3"/>
    <n v="42"/>
    <n v="2"/>
    <x v="0"/>
    <s v="2023_0.125_Presec Abetifi"/>
    <s v="Preliminary"/>
    <n v="0"/>
    <s v="Coastal"/>
    <n v="6.25E-2"/>
  </r>
  <r>
    <s v="SDA Agona"/>
    <s v="Agona SDA Senior High"/>
    <x v="1"/>
    <x v="1"/>
    <x v="3"/>
    <n v="19"/>
    <n v="3"/>
    <x v="0"/>
    <s v="2023_0.125_Presec Abetifi"/>
    <s v="Preliminary"/>
    <n v="0"/>
    <s v="Middle Belt"/>
    <n v="4.1666666666666664E-2"/>
  </r>
  <r>
    <s v="Prempeh"/>
    <s v="Prempeh College"/>
    <x v="1"/>
    <x v="0"/>
    <x v="3"/>
    <n v="52"/>
    <n v="1"/>
    <x v="0"/>
    <s v="2023_0.125_Prempeh"/>
    <s v="Preliminary"/>
    <n v="1"/>
    <s v="Middle Belt"/>
    <n v="0.125"/>
  </r>
  <r>
    <s v="TI Amass Fomena"/>
    <s v="TI Ahmadiyya Senior High School, Fomena"/>
    <x v="1"/>
    <x v="1"/>
    <x v="3"/>
    <n v="34"/>
    <n v="2"/>
    <x v="0"/>
    <s v="2023_0.125_Prempeh"/>
    <s v="Preliminary"/>
    <n v="0"/>
    <s v="Middle Belt"/>
    <n v="6.25E-2"/>
  </r>
  <r>
    <s v="Navrongo SHS"/>
    <s v="Navrongo SHS Senior High School"/>
    <x v="10"/>
    <x v="1"/>
    <x v="3"/>
    <n v="28"/>
    <n v="3"/>
    <x v="0"/>
    <s v="2023_0.125_Prempeh"/>
    <s v="Preliminary"/>
    <n v="0"/>
    <s v="Northern"/>
    <n v="4.1666666666666664E-2"/>
  </r>
  <r>
    <s v="Augusco"/>
    <s v="St. Augustine's College"/>
    <x v="2"/>
    <x v="0"/>
    <x v="3"/>
    <n v="56"/>
    <n v="1"/>
    <x v="0"/>
    <s v="2023_0.125_Augusco"/>
    <s v="Preliminary"/>
    <n v="1"/>
    <s v="Coastal"/>
    <n v="0.125"/>
  </r>
  <r>
    <s v="Persco"/>
    <s v="St. Peter's Senior High School"/>
    <x v="4"/>
    <x v="0"/>
    <x v="3"/>
    <n v="43"/>
    <n v="2"/>
    <x v="0"/>
    <s v="2023_0.125_Augusco"/>
    <s v="Preliminary"/>
    <n v="0"/>
    <s v="Middle Belt"/>
    <n v="6.25E-2"/>
  </r>
  <r>
    <s v="Aburi Girls"/>
    <s v="Aburi Girls' Senior High School"/>
    <x v="4"/>
    <x v="2"/>
    <x v="3"/>
    <n v="34"/>
    <n v="3"/>
    <x v="0"/>
    <s v="2023_0.125_Augusco"/>
    <s v="Preliminary"/>
    <n v="0"/>
    <s v="Middle Belt"/>
    <n v="4.1666666666666664E-2"/>
  </r>
  <r>
    <s v="Keta"/>
    <s v="Keta Senior High Technical School"/>
    <x v="3"/>
    <x v="1"/>
    <x v="3"/>
    <n v="70"/>
    <n v="1"/>
    <x v="0"/>
    <s v="2023_0.125_Keta"/>
    <s v="Preliminary"/>
    <n v="1"/>
    <s v="Coastal"/>
    <n v="0.125"/>
  </r>
  <r>
    <s v="Koforidua Sec Tech"/>
    <s v="Koforidua Sec Tech Senior High School"/>
    <x v="4"/>
    <x v="0"/>
    <x v="3"/>
    <n v="33"/>
    <n v="2"/>
    <x v="0"/>
    <s v="2023_0.125_Keta"/>
    <s v="Preliminary"/>
    <n v="0"/>
    <s v="Middle Belt"/>
    <n v="6.25E-2"/>
  </r>
  <r>
    <s v="St Johns Grammar"/>
    <s v="St Johns Grammar Senior High School"/>
    <x v="0"/>
    <x v="1"/>
    <x v="3"/>
    <n v="26"/>
    <n v="3"/>
    <x v="0"/>
    <s v="2023_0.125_Keta"/>
    <s v="Preliminary"/>
    <n v="0"/>
    <s v="Coastal"/>
    <n v="4.1666666666666664E-2"/>
  </r>
  <r>
    <s v="Yikrosec"/>
    <s v="Yilo Krobo Senior High Community School"/>
    <x v="4"/>
    <x v="1"/>
    <x v="3"/>
    <n v="41"/>
    <n v="1"/>
    <x v="0"/>
    <s v="2023_0.125_Yikrosec"/>
    <s v="Preliminary"/>
    <n v="1"/>
    <s v="Middle Belt"/>
    <n v="0.125"/>
  </r>
  <r>
    <s v="St Hubert"/>
    <s v="St. Hubert Seminary Senior High School"/>
    <x v="1"/>
    <x v="0"/>
    <x v="3"/>
    <n v="37"/>
    <n v="2"/>
    <x v="0"/>
    <s v="2023_0.125_Yikrosec"/>
    <s v="Preliminary"/>
    <n v="0"/>
    <s v="Middle Belt"/>
    <n v="6.25E-2"/>
  </r>
  <r>
    <s v="Fijai"/>
    <s v="Fijai Senior High School"/>
    <x v="5"/>
    <x v="1"/>
    <x v="3"/>
    <n v="17"/>
    <n v="3"/>
    <x v="0"/>
    <s v="2023_0.125_Yikrosec"/>
    <s v="Preliminary"/>
    <n v="0"/>
    <s v="Coastal"/>
    <n v="4.1666666666666664E-2"/>
  </r>
  <r>
    <s v="Mfantsipim"/>
    <s v="Mfantsipim School"/>
    <x v="2"/>
    <x v="0"/>
    <x v="3"/>
    <n v="55"/>
    <n v="1"/>
    <x v="0"/>
    <s v="2023_0.125_Mfantsipim"/>
    <s v="Preliminary"/>
    <n v="1"/>
    <s v="Coastal"/>
    <n v="0.125"/>
  </r>
  <r>
    <s v="Kumaca"/>
    <s v="Kumasi Academy"/>
    <x v="1"/>
    <x v="1"/>
    <x v="3"/>
    <n v="45"/>
    <n v="2"/>
    <x v="0"/>
    <s v="2023_0.125_Mfantsipim"/>
    <s v="Preliminary"/>
    <n v="0"/>
    <s v="Middle Belt"/>
    <n v="6.25E-2"/>
  </r>
  <r>
    <s v="Methodist Girls"/>
    <s v="Methodist Girls High School, Mamfe"/>
    <x v="4"/>
    <x v="2"/>
    <x v="3"/>
    <n v="13"/>
    <n v="3"/>
    <x v="0"/>
    <s v="2023_0.125_Mfantsipim"/>
    <s v="Preliminary"/>
    <n v="0"/>
    <s v="Middle Belt"/>
    <n v="4.1666666666666664E-2"/>
  </r>
  <r>
    <s v="Accra Aca"/>
    <s v="Accra Academy"/>
    <x v="0"/>
    <x v="0"/>
    <x v="3"/>
    <n v="46"/>
    <n v="1"/>
    <x v="0"/>
    <s v="2023_0.125_Accra Aca"/>
    <s v="Preliminary"/>
    <n v="1"/>
    <s v="Coastal"/>
    <n v="0.125"/>
  </r>
  <r>
    <s v="Akumfi Ameyaw"/>
    <s v="Akumfi Ameyaw Senior High Technical School"/>
    <x v="9"/>
    <x v="1"/>
    <x v="3"/>
    <n v="36"/>
    <n v="2"/>
    <x v="0"/>
    <s v="2023_0.125_Accra Aca"/>
    <s v="Preliminary"/>
    <n v="0"/>
    <s v="Middle Belt"/>
    <n v="6.25E-2"/>
  </r>
  <r>
    <s v="Awudome SHS"/>
    <s v="Awudome Senior High School"/>
    <x v="3"/>
    <x v="1"/>
    <x v="3"/>
    <n v="29"/>
    <n v="3"/>
    <x v="0"/>
    <s v="2023_0.125_Accra Aca"/>
    <s v="Preliminary"/>
    <n v="0"/>
    <s v="Coastal"/>
    <n v="4.1666666666666664E-2"/>
  </r>
  <r>
    <s v="Presec Legon"/>
    <s v="Presbyterian Boys' Senior High School"/>
    <x v="0"/>
    <x v="0"/>
    <x v="3"/>
    <n v="60"/>
    <n v="1"/>
    <x v="0"/>
    <s v="2023_0.125_Presec Legon"/>
    <s v="Preliminary"/>
    <n v="1"/>
    <s v="Coastal"/>
    <n v="1"/>
  </r>
  <r>
    <s v="KOSS"/>
    <s v="Konongo Odumase Senior High School"/>
    <x v="1"/>
    <x v="1"/>
    <x v="3"/>
    <n v="41"/>
    <n v="2"/>
    <x v="0"/>
    <s v="2023_0.125_Presec Legon"/>
    <s v="Preliminary"/>
    <n v="0"/>
    <s v="Middle Belt"/>
    <n v="0.5"/>
  </r>
  <r>
    <s v="K Wegehey"/>
    <s v="Kumasi Wesley Girls' Senior High School"/>
    <x v="1"/>
    <x v="2"/>
    <x v="3"/>
    <n v="6"/>
    <n v="3"/>
    <x v="0"/>
    <s v="2023_0.125_Presec Legon"/>
    <s v="Preliminary"/>
    <n v="0"/>
    <s v="Middle Belt"/>
    <n v="0.33333333333333331"/>
  </r>
  <r>
    <s v="Presec Legon"/>
    <s v="Presbyterian Boys' Senior High School"/>
    <x v="0"/>
    <x v="0"/>
    <x v="0"/>
    <n v="50"/>
    <n v="1"/>
    <x v="1"/>
    <s v="2022_1.0_Presec Legon"/>
    <s v="Final"/>
    <n v="1"/>
    <s v="Coastal"/>
    <n v="0.5"/>
  </r>
  <r>
    <s v="Prempeh"/>
    <s v="Prempeh College"/>
    <x v="1"/>
    <x v="0"/>
    <x v="0"/>
    <n v="41"/>
    <n v="2"/>
    <x v="1"/>
    <s v="2022_1.0_Presec Legon"/>
    <s v="Final"/>
    <n v="0"/>
    <s v="Middle Belt"/>
    <n v="0.25"/>
  </r>
  <r>
    <s v="Adisco"/>
    <s v="Adisadel College"/>
    <x v="2"/>
    <x v="0"/>
    <x v="0"/>
    <n v="32"/>
    <n v="3"/>
    <x v="1"/>
    <s v="2022_1.0_Presec Legon"/>
    <s v="Final"/>
    <n v="0"/>
    <s v="Coastal"/>
    <n v="0.16666666666666666"/>
  </r>
  <r>
    <s v="Prempeh"/>
    <s v="Prempeh College"/>
    <x v="1"/>
    <x v="0"/>
    <x v="1"/>
    <n v="49"/>
    <n v="1"/>
    <x v="1"/>
    <s v="2022_0.5_Prempeh"/>
    <s v="Semifinal"/>
    <n v="1"/>
    <s v="Middle Belt"/>
    <n v="0.5"/>
  </r>
  <r>
    <s v="Presec Abetifi"/>
    <s v="Abetifi Presbyterian Senior High School"/>
    <x v="4"/>
    <x v="1"/>
    <x v="1"/>
    <n v="43"/>
    <n v="2"/>
    <x v="1"/>
    <s v="2022_0.5_Prempeh"/>
    <s v="Semifinal"/>
    <n v="0"/>
    <s v="Middle Belt"/>
    <n v="0.25"/>
  </r>
  <r>
    <s v="Mfantsipim"/>
    <s v="Mfantsipim School"/>
    <x v="2"/>
    <x v="0"/>
    <x v="1"/>
    <n v="41"/>
    <n v="3"/>
    <x v="1"/>
    <s v="2022_0.5_Prempeh"/>
    <s v="Semifinal"/>
    <n v="0"/>
    <s v="Coastal"/>
    <n v="0.16666666666666666"/>
  </r>
  <r>
    <s v="Presec Legon"/>
    <s v="Presbyterian Boys' Senior High School"/>
    <x v="0"/>
    <x v="0"/>
    <x v="1"/>
    <n v="51"/>
    <n v="1"/>
    <x v="1"/>
    <s v="2022_0.5_Presec Legon"/>
    <s v="Semifinal"/>
    <n v="1"/>
    <s v="Coastal"/>
    <n v="0.5"/>
  </r>
  <r>
    <s v="St. James"/>
    <s v="St. James Seminary and Senior High School"/>
    <x v="6"/>
    <x v="0"/>
    <x v="1"/>
    <n v="35"/>
    <n v="2"/>
    <x v="1"/>
    <s v="2022_0.5_Presec Legon"/>
    <s v="Semifinal"/>
    <n v="0"/>
    <s v="Middle Belt"/>
    <n v="0.25"/>
  </r>
  <r>
    <s v="Kuhis"/>
    <s v="Kumasi High School"/>
    <x v="1"/>
    <x v="0"/>
    <x v="1"/>
    <n v="8"/>
    <n v="3"/>
    <x v="1"/>
    <s v="2022_0.5_Presec Legon"/>
    <s v="Semifinal"/>
    <n v="0"/>
    <s v="Middle Belt"/>
    <n v="0.16666666666666666"/>
  </r>
  <r>
    <s v="Adisco"/>
    <s v="Adisadel College"/>
    <x v="2"/>
    <x v="0"/>
    <x v="1"/>
    <n v="45"/>
    <n v="1"/>
    <x v="1"/>
    <s v="2022_0.5_Adisco"/>
    <s v="Semifinal"/>
    <n v="1"/>
    <s v="Coastal"/>
    <n v="0.25"/>
  </r>
  <r>
    <s v="Owass"/>
    <s v="Opoku Ware Senior High School"/>
    <x v="1"/>
    <x v="0"/>
    <x v="1"/>
    <n v="33"/>
    <n v="2"/>
    <x v="1"/>
    <s v="2022_0.5_Adisco"/>
    <s v="Semifinal"/>
    <n v="0"/>
    <s v="Middle Belt"/>
    <n v="0.125"/>
  </r>
  <r>
    <s v="Augusco"/>
    <s v="St. Augustine's College"/>
    <x v="2"/>
    <x v="0"/>
    <x v="1"/>
    <n v="22"/>
    <n v="3"/>
    <x v="1"/>
    <s v="2022_0.5_Adisco"/>
    <s v="Semifinal"/>
    <n v="0"/>
    <s v="Coastal"/>
    <n v="8.3333333333333329E-2"/>
  </r>
  <r>
    <s v="Augusco"/>
    <s v="St. Augustine's College"/>
    <x v="2"/>
    <x v="0"/>
    <x v="2"/>
    <n v="67"/>
    <n v="1"/>
    <x v="1"/>
    <s v="2022_0.25_Augusco"/>
    <s v="Quarterfinal"/>
    <n v="1"/>
    <s v="Coastal"/>
    <n v="0.25"/>
  </r>
  <r>
    <s v="Osei Tutu"/>
    <s v="Osei Tutu Senior High School"/>
    <x v="1"/>
    <x v="0"/>
    <x v="2"/>
    <n v="40"/>
    <n v="2"/>
    <x v="1"/>
    <s v="2022_0.25_Augusco"/>
    <s v="Quarterfinal"/>
    <n v="0"/>
    <s v="Middle Belt"/>
    <n v="0.125"/>
  </r>
  <r>
    <s v="Ghana National"/>
    <s v="Ghana National College"/>
    <x v="2"/>
    <x v="1"/>
    <x v="2"/>
    <n v="40"/>
    <n v="3"/>
    <x v="1"/>
    <s v="2022_0.25_Augusco"/>
    <s v="Quarterfinal"/>
    <n v="0"/>
    <s v="Coastal"/>
    <n v="8.3333333333333329E-2"/>
  </r>
  <r>
    <s v="Adisco"/>
    <s v="Adisadel College"/>
    <x v="2"/>
    <x v="0"/>
    <x v="2"/>
    <n v="31"/>
    <n v="1"/>
    <x v="1"/>
    <s v="2022_0.25_Adisco"/>
    <s v="Quarterfinal"/>
    <n v="1"/>
    <s v="Coastal"/>
    <n v="0.25"/>
  </r>
  <r>
    <s v="Assin State"/>
    <s v="Assin State College"/>
    <x v="2"/>
    <x v="1"/>
    <x v="2"/>
    <n v="29"/>
    <n v="2"/>
    <x v="1"/>
    <s v="2022_0.25_Adisco"/>
    <s v="Quarterfinal"/>
    <n v="0"/>
    <s v="Coastal"/>
    <n v="0.125"/>
  </r>
  <r>
    <s v="Swedru SHS"/>
    <s v="Swedru Senior High School"/>
    <x v="2"/>
    <x v="1"/>
    <x v="2"/>
    <n v="24"/>
    <n v="3"/>
    <x v="1"/>
    <s v="2022_0.25_Adisco"/>
    <s v="Quarterfinal"/>
    <n v="0"/>
    <s v="Coastal"/>
    <n v="8.3333333333333329E-2"/>
  </r>
  <r>
    <s v="Owass"/>
    <s v="Opoku Ware Senior High School"/>
    <x v="1"/>
    <x v="0"/>
    <x v="2"/>
    <n v="59"/>
    <n v="1"/>
    <x v="1"/>
    <s v="2022_0.25_Owass"/>
    <s v="Quarterfinal"/>
    <n v="1"/>
    <s v="Middle Belt"/>
    <n v="0.25"/>
  </r>
  <r>
    <s v="Keta"/>
    <s v="Keta Senior High Technical School"/>
    <x v="3"/>
    <x v="1"/>
    <x v="2"/>
    <n v="43"/>
    <n v="2"/>
    <x v="1"/>
    <s v="2022_0.25_Owass"/>
    <s v="Quarterfinal"/>
    <n v="0"/>
    <s v="Coastal"/>
    <n v="0.125"/>
  </r>
  <r>
    <s v="Adventist Bantama"/>
    <s v="Adventist Senior High School"/>
    <x v="1"/>
    <x v="1"/>
    <x v="2"/>
    <n v="31"/>
    <n v="3"/>
    <x v="1"/>
    <s v="2022_0.25_Owass"/>
    <s v="Quarterfinal"/>
    <n v="0"/>
    <s v="Middle Belt"/>
    <n v="8.3333333333333329E-2"/>
  </r>
  <r>
    <s v="St. James"/>
    <s v="St. James Seminary and Senior High School"/>
    <x v="6"/>
    <x v="0"/>
    <x v="2"/>
    <n v="44"/>
    <n v="1"/>
    <x v="1"/>
    <s v="2022_0.25_St. James"/>
    <s v="Quarterfinal"/>
    <n v="1"/>
    <s v="Middle Belt"/>
    <n v="0.25"/>
  </r>
  <r>
    <s v="Ghana SHS Koforidua"/>
    <s v="Ghana Senior High School, Koforidua"/>
    <x v="4"/>
    <x v="1"/>
    <x v="2"/>
    <n v="29"/>
    <n v="2"/>
    <x v="1"/>
    <s v="2022_0.25_St. James"/>
    <s v="Quarterfinal"/>
    <n v="0"/>
    <s v="Middle Belt"/>
    <n v="0.125"/>
  </r>
  <r>
    <s v="Kumasi sectec"/>
    <s v="Kumasi Senior High Technical School"/>
    <x v="1"/>
    <x v="1"/>
    <x v="2"/>
    <n v="23"/>
    <n v="3"/>
    <x v="1"/>
    <s v="2022_0.25_St. James"/>
    <s v="Quarterfinal"/>
    <n v="0"/>
    <s v="Middle Belt"/>
    <n v="8.3333333333333329E-2"/>
  </r>
  <r>
    <s v="Kuhis"/>
    <s v="Kumasi High School"/>
    <x v="1"/>
    <x v="0"/>
    <x v="2"/>
    <n v="59"/>
    <n v="1"/>
    <x v="1"/>
    <s v="2022_0.25_Kuhis"/>
    <s v="Quarterfinal"/>
    <n v="1"/>
    <s v="Middle Belt"/>
    <n v="0.25"/>
  </r>
  <r>
    <s v="Xavier"/>
    <s v="St Francis Xavier Mnior Seminary"/>
    <x v="8"/>
    <x v="0"/>
    <x v="2"/>
    <n v="31"/>
    <n v="2"/>
    <x v="1"/>
    <s v="2022_0.25_Kuhis"/>
    <s v="Quarterfinal"/>
    <n v="0"/>
    <s v="Northern"/>
    <n v="0.125"/>
  </r>
  <r>
    <s v="Biheco"/>
    <s v="Bishop Herman College"/>
    <x v="3"/>
    <x v="0"/>
    <x v="2"/>
    <n v="25"/>
    <n v="3"/>
    <x v="1"/>
    <s v="2022_0.25_Kuhis"/>
    <s v="Quarterfinal"/>
    <n v="0"/>
    <s v="Coastal"/>
    <n v="8.3333333333333329E-2"/>
  </r>
  <r>
    <s v="Presec Legon"/>
    <s v="Presbyterian Boys' Senior High School"/>
    <x v="0"/>
    <x v="0"/>
    <x v="2"/>
    <n v="67"/>
    <n v="1"/>
    <x v="1"/>
    <s v="2022_0.25_Presec Legon"/>
    <s v="Quarterfinal"/>
    <n v="1"/>
    <s v="Coastal"/>
    <n v="0.25"/>
  </r>
  <r>
    <s v="Accra Aca"/>
    <s v="Accra Academy"/>
    <x v="0"/>
    <x v="0"/>
    <x v="2"/>
    <n v="33"/>
    <n v="2"/>
    <x v="1"/>
    <s v="2022_0.25_Presec Legon"/>
    <s v="Quarterfinal"/>
    <n v="0"/>
    <s v="Coastal"/>
    <n v="0.125"/>
  </r>
  <r>
    <s v="PJ"/>
    <s v="Pope John Senior High School and Minor Seminary"/>
    <x v="4"/>
    <x v="0"/>
    <x v="2"/>
    <n v="26"/>
    <n v="3"/>
    <x v="1"/>
    <s v="2022_0.25_Presec Legon"/>
    <s v="Quarterfinal"/>
    <n v="0"/>
    <s v="Middle Belt"/>
    <n v="8.3333333333333329E-2"/>
  </r>
  <r>
    <s v="Presec Abetifi"/>
    <s v="Abetifi Presbyterian Senior High School"/>
    <x v="4"/>
    <x v="1"/>
    <x v="2"/>
    <n v="51"/>
    <n v="1"/>
    <x v="1"/>
    <s v="2022_0.25_Presec Abetifi"/>
    <s v="Quarterfinal"/>
    <n v="1"/>
    <s v="Middle Belt"/>
    <n v="0.25"/>
  </r>
  <r>
    <s v="OKESS"/>
    <s v="Osei Kyeretwie Senior High School"/>
    <x v="1"/>
    <x v="1"/>
    <x v="2"/>
    <n v="50"/>
    <n v="2"/>
    <x v="1"/>
    <s v="2022_0.25_Presec Abetifi"/>
    <s v="Quarterfinal"/>
    <n v="0"/>
    <s v="Middle Belt"/>
    <n v="0.125"/>
  </r>
  <r>
    <s v="Ghanata"/>
    <s v="Ghanata Senior High School"/>
    <x v="0"/>
    <x v="1"/>
    <x v="2"/>
    <n v="36"/>
    <n v="3"/>
    <x v="1"/>
    <s v="2022_0.25_Presec Abetifi"/>
    <s v="Quarterfinal"/>
    <n v="0"/>
    <s v="Coastal"/>
    <n v="8.3333333333333329E-2"/>
  </r>
  <r>
    <s v="Mfantsipim"/>
    <s v="Mfantsipim School"/>
    <x v="2"/>
    <x v="0"/>
    <x v="2"/>
    <n v="51"/>
    <n v="1"/>
    <x v="1"/>
    <s v="2022_0.25_Mfantsipim"/>
    <s v="Quarterfinal"/>
    <n v="1"/>
    <s v="Coastal"/>
    <n v="0.25"/>
  </r>
  <r>
    <s v="St Hubert"/>
    <s v="St. Hubert Seminary Senior High School"/>
    <x v="1"/>
    <x v="0"/>
    <x v="2"/>
    <n v="45"/>
    <n v="2"/>
    <x v="1"/>
    <s v="2022_0.25_Mfantsipim"/>
    <s v="Quarterfinal"/>
    <n v="0"/>
    <s v="Middle Belt"/>
    <n v="0.125"/>
  </r>
  <r>
    <s v="Tamale SHS"/>
    <s v="Tamale SHS Senior High School"/>
    <x v="7"/>
    <x v="1"/>
    <x v="2"/>
    <n v="38"/>
    <n v="3"/>
    <x v="1"/>
    <s v="2022_0.25_Mfantsipim"/>
    <s v="Quarterfinal"/>
    <n v="0"/>
    <s v="Northern"/>
    <n v="8.3333333333333329E-2"/>
  </r>
  <r>
    <s v="Prempeh"/>
    <s v="Prempeh College"/>
    <x v="1"/>
    <x v="0"/>
    <x v="2"/>
    <n v="47"/>
    <n v="1"/>
    <x v="1"/>
    <s v="2022_0.25_Prempeh"/>
    <s v="Quarterfinal"/>
    <n v="1"/>
    <s v="Middle Belt"/>
    <n v="0.125"/>
  </r>
  <r>
    <s v="Presby SHTS Aburi"/>
    <s v="Aburi Presbyterian Senior High Technical School"/>
    <x v="4"/>
    <x v="1"/>
    <x v="2"/>
    <n v="41"/>
    <n v="2"/>
    <x v="1"/>
    <s v="2022_0.25_Prempeh"/>
    <s v="Quarterfinal"/>
    <n v="0"/>
    <s v="Middle Belt"/>
    <n v="6.25E-2"/>
  </r>
  <r>
    <s v="Mawuli"/>
    <s v="Mawuli School"/>
    <x v="3"/>
    <x v="1"/>
    <x v="2"/>
    <n v="32"/>
    <n v="3"/>
    <x v="1"/>
    <s v="2022_0.25_Prempeh"/>
    <s v="Quarterfinal"/>
    <n v="0"/>
    <s v="Coastal"/>
    <n v="4.1666666666666664E-2"/>
  </r>
  <r>
    <s v="Keta"/>
    <s v="Keta Senior High Technical School"/>
    <x v="3"/>
    <x v="1"/>
    <x v="3"/>
    <n v="52"/>
    <n v="1"/>
    <x v="1"/>
    <s v="2022_0.125_Keta"/>
    <s v="Preliminary"/>
    <n v="1"/>
    <s v="Coastal"/>
    <n v="0.125"/>
  </r>
  <r>
    <s v="Unipra"/>
    <s v="University Practice Senior High School"/>
    <x v="2"/>
    <x v="1"/>
    <x v="3"/>
    <n v="40"/>
    <n v="2"/>
    <x v="1"/>
    <s v="2022_0.125_Keta"/>
    <s v="Preliminary"/>
    <n v="0"/>
    <s v="Coastal"/>
    <n v="6.25E-2"/>
  </r>
  <r>
    <s v="Nungua Shs"/>
    <s v="Nungua Senior High School"/>
    <x v="0"/>
    <x v="1"/>
    <x v="3"/>
    <n v="21"/>
    <n v="3"/>
    <x v="1"/>
    <s v="2022_0.125_Keta"/>
    <s v="Preliminary"/>
    <n v="0"/>
    <s v="Coastal"/>
    <n v="4.1666666666666664E-2"/>
  </r>
  <r>
    <s v="Owass"/>
    <s v="Opoku Ware Senior High School"/>
    <x v="1"/>
    <x v="0"/>
    <x v="3"/>
    <n v="64"/>
    <n v="1"/>
    <x v="1"/>
    <s v="2022_0.125_Owass"/>
    <s v="Preliminary"/>
    <n v="1"/>
    <s v="Middle Belt"/>
    <n v="0.125"/>
  </r>
  <r>
    <s v="Sunyani SHS"/>
    <s v="Sunyani Senior High School"/>
    <x v="6"/>
    <x v="1"/>
    <x v="3"/>
    <n v="19"/>
    <n v="2"/>
    <x v="1"/>
    <s v="2022_0.125_Owass"/>
    <s v="Preliminary"/>
    <n v="0"/>
    <s v="Middle Belt"/>
    <n v="6.25E-2"/>
  </r>
  <r>
    <s v="Anlo SHS"/>
    <s v="Anlo Senior High School"/>
    <x v="3"/>
    <x v="1"/>
    <x v="3"/>
    <n v="15"/>
    <n v="3"/>
    <x v="1"/>
    <s v="2022_0.125_Owass"/>
    <s v="Preliminary"/>
    <n v="0"/>
    <s v="Coastal"/>
    <n v="4.1666666666666664E-2"/>
  </r>
  <r>
    <s v="Adventist Bantama"/>
    <s v="Adventist Senior High School"/>
    <x v="1"/>
    <x v="1"/>
    <x v="3"/>
    <n v="51"/>
    <n v="1"/>
    <x v="1"/>
    <s v="2022_0.125_Adventist Bantama"/>
    <s v="Preliminary"/>
    <n v="1"/>
    <s v="Middle Belt"/>
    <n v="0.125"/>
  </r>
  <r>
    <s v="Tarkwa SHS"/>
    <s v="Tarkwa Senior High School"/>
    <x v="5"/>
    <x v="1"/>
    <x v="3"/>
    <n v="30"/>
    <n v="2"/>
    <x v="1"/>
    <s v="2022_0.125_Adventist Bantama"/>
    <s v="Preliminary"/>
    <n v="0"/>
    <s v="Coastal"/>
    <n v="6.25E-2"/>
  </r>
  <r>
    <s v="Ola SHS"/>
    <s v="OLA Girls' Senior High School"/>
    <x v="3"/>
    <x v="2"/>
    <x v="3"/>
    <n v="18"/>
    <n v="3"/>
    <x v="1"/>
    <s v="2022_0.125_Adventist Bantama"/>
    <s v="Preliminary"/>
    <n v="0"/>
    <s v="Coastal"/>
    <n v="4.1666666666666664E-2"/>
  </r>
  <r>
    <s v="Swedru SHS"/>
    <s v="Swedru Senior High School"/>
    <x v="2"/>
    <x v="1"/>
    <x v="3"/>
    <n v="41"/>
    <n v="1"/>
    <x v="1"/>
    <s v="2022_0.125_Swedru SHS"/>
    <s v="Preliminary"/>
    <n v="1"/>
    <s v="Coastal"/>
    <n v="0.125"/>
  </r>
  <r>
    <s v="Notre Dame Sem"/>
    <s v="Notre Dame Seminary Senior High School"/>
    <x v="10"/>
    <x v="0"/>
    <x v="3"/>
    <n v="26"/>
    <n v="2"/>
    <x v="1"/>
    <s v="2022_0.125_Swedru SHS"/>
    <s v="Preliminary"/>
    <n v="0"/>
    <s v="Northern"/>
    <n v="6.25E-2"/>
  </r>
  <r>
    <s v="Simms"/>
    <s v="Simms Senior High School"/>
    <x v="1"/>
    <x v="1"/>
    <x v="3"/>
    <n v="15"/>
    <n v="3"/>
    <x v="1"/>
    <s v="2022_0.125_Swedru SHS"/>
    <s v="Preliminary"/>
    <n v="0"/>
    <s v="Middle Belt"/>
    <n v="4.1666666666666664E-2"/>
  </r>
  <r>
    <s v="Adisco"/>
    <s v="Adisadel College"/>
    <x v="2"/>
    <x v="0"/>
    <x v="3"/>
    <n v="52"/>
    <n v="1"/>
    <x v="1"/>
    <s v="2022_0.125_Adisco"/>
    <s v="Preliminary"/>
    <n v="1"/>
    <s v="Coastal"/>
    <n v="0.125"/>
  </r>
  <r>
    <s v="Koforidua Sec Tech"/>
    <s v="Koforidua Sec Tech Senior High School"/>
    <x v="4"/>
    <x v="0"/>
    <x v="3"/>
    <n v="30"/>
    <n v="2"/>
    <x v="1"/>
    <s v="2022_0.125_Adisco"/>
    <s v="Preliminary"/>
    <n v="0"/>
    <s v="Middle Belt"/>
    <n v="6.25E-2"/>
  </r>
  <r>
    <s v="Acherensua SHS"/>
    <s v="Acherensua Senior High School"/>
    <x v="11"/>
    <x v="1"/>
    <x v="3"/>
    <n v="1"/>
    <n v="3"/>
    <x v="1"/>
    <s v="2022_0.125_Adisco"/>
    <s v="Preliminary"/>
    <n v="0"/>
    <s v="Middle Belt"/>
    <n v="4.1666666666666664E-2"/>
  </r>
  <r>
    <s v="Biheco"/>
    <s v="Bishop Herman College"/>
    <x v="3"/>
    <x v="0"/>
    <x v="3"/>
    <n v="43"/>
    <n v="1"/>
    <x v="1"/>
    <s v="2022_0.125_Biheco"/>
    <s v="Preliminary"/>
    <n v="1"/>
    <s v="Coastal"/>
    <n v="0.125"/>
  </r>
  <r>
    <s v="Fiaseman"/>
    <s v="Fiaseman Senior High School"/>
    <x v="5"/>
    <x v="1"/>
    <x v="3"/>
    <n v="36"/>
    <n v="2"/>
    <x v="1"/>
    <s v="2022_0.125_Biheco"/>
    <s v="Preliminary"/>
    <n v="0"/>
    <s v="Coastal"/>
    <n v="6.25E-2"/>
  </r>
  <r>
    <s v="Kumaca"/>
    <s v="Kumasi Academy"/>
    <x v="1"/>
    <x v="1"/>
    <x v="3"/>
    <n v="35"/>
    <n v="3"/>
    <x v="1"/>
    <s v="2022_0.125_Biheco"/>
    <s v="Preliminary"/>
    <n v="0"/>
    <s v="Middle Belt"/>
    <n v="4.1666666666666664E-2"/>
  </r>
  <r>
    <s v="PJ"/>
    <s v="Pope John Senior High School and Minor Seminary"/>
    <x v="4"/>
    <x v="0"/>
    <x v="3"/>
    <n v="31"/>
    <n v="1"/>
    <x v="1"/>
    <s v="2022_0.125_PJ"/>
    <s v="Preliminary"/>
    <n v="1"/>
    <s v="Middle Belt"/>
    <n v="0.125"/>
  </r>
  <r>
    <s v="WASS"/>
    <s v="West Africa Senior High School"/>
    <x v="0"/>
    <x v="1"/>
    <x v="3"/>
    <n v="28"/>
    <n v="2"/>
    <x v="1"/>
    <s v="2022_0.125_PJ"/>
    <s v="Preliminary"/>
    <n v="0"/>
    <s v="Coastal"/>
    <n v="6.25E-2"/>
  </r>
  <r>
    <s v="Fijai"/>
    <s v="Fijai Senior High School"/>
    <x v="5"/>
    <x v="1"/>
    <x v="3"/>
    <n v="24"/>
    <n v="3"/>
    <x v="1"/>
    <s v="2022_0.125_PJ"/>
    <s v="Preliminary"/>
    <n v="0"/>
    <s v="Coastal"/>
    <n v="4.1666666666666664E-2"/>
  </r>
  <r>
    <s v="Augusco"/>
    <s v="St. Augustine's College"/>
    <x v="2"/>
    <x v="0"/>
    <x v="3"/>
    <n v="48"/>
    <n v="1"/>
    <x v="1"/>
    <s v="2022_0.125_Augusco"/>
    <s v="Preliminary"/>
    <n v="1"/>
    <s v="Coastal"/>
    <n v="0.125"/>
  </r>
  <r>
    <s v="Tamale Islamic"/>
    <s v="Tamale Islamic Senior High School"/>
    <x v="7"/>
    <x v="1"/>
    <x v="3"/>
    <n v="37"/>
    <n v="2"/>
    <x v="1"/>
    <s v="2022_0.125_Augusco"/>
    <s v="Preliminary"/>
    <n v="0"/>
    <s v="Northern"/>
    <n v="6.25E-2"/>
  </r>
  <r>
    <s v="Achimota"/>
    <s v="Achimota School"/>
    <x v="0"/>
    <x v="1"/>
    <x v="3"/>
    <n v="34"/>
    <n v="3"/>
    <x v="1"/>
    <s v="2022_0.125_Augusco"/>
    <s v="Preliminary"/>
    <n v="0"/>
    <s v="Coastal"/>
    <n v="4.1666666666666664E-2"/>
  </r>
  <r>
    <s v="Ghana National"/>
    <s v="Ghana National College"/>
    <x v="2"/>
    <x v="1"/>
    <x v="3"/>
    <n v="28"/>
    <n v="1"/>
    <x v="1"/>
    <s v="2022_0.125_Ghana National"/>
    <s v="Preliminary"/>
    <n v="1"/>
    <s v="Coastal"/>
    <n v="0.125"/>
  </r>
  <r>
    <s v="Mpraeso"/>
    <s v="Mpraeso Senior High School"/>
    <x v="4"/>
    <x v="1"/>
    <x v="3"/>
    <n v="25"/>
    <n v="2"/>
    <x v="1"/>
    <s v="2022_0.125_Ghana National"/>
    <s v="Preliminary"/>
    <n v="0"/>
    <s v="Middle Belt"/>
    <n v="6.25E-2"/>
  </r>
  <r>
    <s v="Nandom"/>
    <s v="Nandom Senior High School"/>
    <x v="8"/>
    <x v="0"/>
    <x v="3"/>
    <n v="20"/>
    <n v="3"/>
    <x v="1"/>
    <s v="2022_0.125_Ghana National"/>
    <s v="Preliminary"/>
    <n v="0"/>
    <s v="Northern"/>
    <n v="4.1666666666666664E-2"/>
  </r>
  <r>
    <s v="Accra Aca"/>
    <s v="Accra Academy"/>
    <x v="0"/>
    <x v="0"/>
    <x v="3"/>
    <n v="60"/>
    <n v="1"/>
    <x v="1"/>
    <s v="2022_0.125_Accra Aca"/>
    <s v="Preliminary"/>
    <n v="1"/>
    <s v="Coastal"/>
    <n v="0.125"/>
  </r>
  <r>
    <s v="Adu Gyamfi"/>
    <s v="Adu Gyamfi Senior High School"/>
    <x v="1"/>
    <x v="1"/>
    <x v="3"/>
    <n v="35"/>
    <n v="2"/>
    <x v="1"/>
    <s v="2022_0.125_Accra Aca"/>
    <s v="Preliminary"/>
    <n v="0"/>
    <s v="Middle Belt"/>
    <n v="6.25E-2"/>
  </r>
  <r>
    <s v="Our Lady of Mt. Carmel Girls"/>
    <s v="Our Lady of Mt. Carmel Girls Senior High School"/>
    <x v="9"/>
    <x v="2"/>
    <x v="3"/>
    <n v="29"/>
    <n v="3"/>
    <x v="1"/>
    <s v="2022_0.125_Accra Aca"/>
    <s v="Preliminary"/>
    <n v="0"/>
    <s v="Middle Belt"/>
    <n v="4.1666666666666664E-2"/>
  </r>
  <r>
    <s v="Presec Legon"/>
    <s v="Presbyterian Boys' Senior High School"/>
    <x v="0"/>
    <x v="0"/>
    <x v="3"/>
    <n v="54"/>
    <n v="1"/>
    <x v="1"/>
    <s v="2022_0.125_Presec Legon"/>
    <s v="Preliminary"/>
    <n v="1"/>
    <s v="Coastal"/>
    <n v="0.125"/>
  </r>
  <r>
    <s v="Asanteman SHS"/>
    <s v="Asanteman Senior High School"/>
    <x v="1"/>
    <x v="1"/>
    <x v="3"/>
    <n v="45"/>
    <n v="2"/>
    <x v="1"/>
    <s v="2022_0.125_Presec Legon"/>
    <s v="Preliminary"/>
    <n v="0"/>
    <s v="Middle Belt"/>
    <n v="6.25E-2"/>
  </r>
  <r>
    <s v="Shama SHS"/>
    <s v="Shama Senior High School"/>
    <x v="5"/>
    <x v="1"/>
    <x v="3"/>
    <n v="14"/>
    <n v="3"/>
    <x v="1"/>
    <s v="2022_0.125_Presec Legon"/>
    <s v="Preliminary"/>
    <n v="0"/>
    <s v="Coastal"/>
    <n v="4.1666666666666664E-2"/>
  </r>
  <r>
    <s v="Osei Tutu"/>
    <s v="Osei Tutu Senior High School"/>
    <x v="1"/>
    <x v="0"/>
    <x v="3"/>
    <n v="55"/>
    <n v="1"/>
    <x v="1"/>
    <s v="2022_0.125_Osei Tutu"/>
    <s v="Preliminary"/>
    <n v="1"/>
    <s v="Middle Belt"/>
    <n v="0.125"/>
  </r>
  <r>
    <s v="Toase SHS"/>
    <s v="Toase Senior High School"/>
    <x v="1"/>
    <x v="1"/>
    <x v="3"/>
    <n v="33"/>
    <n v="2"/>
    <x v="1"/>
    <s v="2022_0.125_Osei Tutu"/>
    <s v="Preliminary"/>
    <n v="0"/>
    <s v="Middle Belt"/>
    <n v="6.25E-2"/>
  </r>
  <r>
    <s v="Chemu SHS"/>
    <s v="Chemu Senior High School"/>
    <x v="0"/>
    <x v="1"/>
    <x v="3"/>
    <n v="19"/>
    <n v="3"/>
    <x v="1"/>
    <s v="2022_0.125_Osei Tutu"/>
    <s v="Preliminary"/>
    <n v="0"/>
    <s v="Coastal"/>
    <n v="4.1666666666666664E-2"/>
  </r>
  <r>
    <s v="Assin State"/>
    <s v="Assin State College"/>
    <x v="2"/>
    <x v="1"/>
    <x v="3"/>
    <n v="31"/>
    <n v="1"/>
    <x v="1"/>
    <s v="2022_0.125_Assin State"/>
    <s v="Preliminary"/>
    <n v="1"/>
    <s v="Coastal"/>
    <n v="0.125"/>
  </r>
  <r>
    <s v="Amaniampong SHS"/>
    <s v="Amaniampong Senior High School"/>
    <x v="1"/>
    <x v="1"/>
    <x v="3"/>
    <n v="30"/>
    <n v="2"/>
    <x v="1"/>
    <s v="2022_0.125_Assin State"/>
    <s v="Preliminary"/>
    <n v="0"/>
    <s v="Middle Belt"/>
    <n v="6.25E-2"/>
  </r>
  <r>
    <s v="Kanton"/>
    <s v="Kanton Senior High School"/>
    <x v="8"/>
    <x v="1"/>
    <x v="3"/>
    <n v="15"/>
    <n v="3"/>
    <x v="1"/>
    <s v="2022_0.125_Assin State"/>
    <s v="Preliminary"/>
    <n v="0"/>
    <s v="Northern"/>
    <n v="4.1666666666666664E-2"/>
  </r>
  <r>
    <s v="Prempeh"/>
    <s v="Prempeh College"/>
    <x v="1"/>
    <x v="0"/>
    <x v="3"/>
    <n v="46"/>
    <n v="1"/>
    <x v="1"/>
    <s v="2022_0.125_Prempeh"/>
    <s v="Preliminary"/>
    <n v="1"/>
    <s v="Middle Belt"/>
    <n v="0.125"/>
  </r>
  <r>
    <s v="Aquinas"/>
    <s v="St. Thomas Aquinas Senior High School"/>
    <x v="0"/>
    <x v="0"/>
    <x v="3"/>
    <n v="40"/>
    <n v="2"/>
    <x v="1"/>
    <s v="2022_0.125_Prempeh"/>
    <s v="Preliminary"/>
    <n v="0"/>
    <s v="Coastal"/>
    <n v="6.25E-2"/>
  </r>
  <r>
    <s v="Ofori Panin"/>
    <s v="Ofori Panin Senior High School"/>
    <x v="4"/>
    <x v="1"/>
    <x v="3"/>
    <n v="25"/>
    <n v="3"/>
    <x v="1"/>
    <s v="2022_0.125_Prempeh"/>
    <s v="Preliminary"/>
    <n v="0"/>
    <s v="Middle Belt"/>
    <n v="4.1666666666666664E-2"/>
  </r>
  <r>
    <s v="St. James"/>
    <s v="St. James Seminary and Senior High School"/>
    <x v="6"/>
    <x v="0"/>
    <x v="3"/>
    <n v="49"/>
    <n v="1"/>
    <x v="1"/>
    <s v="2022_0.125_St. James"/>
    <s v="Preliminary"/>
    <n v="1"/>
    <s v="Middle Belt"/>
    <n v="0.125"/>
  </r>
  <r>
    <s v="Persco"/>
    <s v="St. Peter's Senior High School"/>
    <x v="4"/>
    <x v="0"/>
    <x v="3"/>
    <n v="45"/>
    <n v="2"/>
    <x v="1"/>
    <s v="2022_0.125_St. James"/>
    <s v="Preliminary"/>
    <n v="0"/>
    <s v="Middle Belt"/>
    <n v="6.25E-2"/>
  </r>
  <r>
    <s v="Drobo"/>
    <s v="Drobo Senior High School"/>
    <x v="6"/>
    <x v="1"/>
    <x v="3"/>
    <n v="8"/>
    <n v="3"/>
    <x v="1"/>
    <s v="2022_0.125_St. James"/>
    <s v="Preliminary"/>
    <n v="0"/>
    <s v="Middle Belt"/>
    <n v="4.1666666666666664E-2"/>
  </r>
  <r>
    <s v="Ghana SHS Koforidua"/>
    <s v="Ghana Senior High School, Koforidua"/>
    <x v="4"/>
    <x v="1"/>
    <x v="3"/>
    <n v="31"/>
    <n v="1"/>
    <x v="1"/>
    <s v="2022_0.125_Ghana SHS Koforidua"/>
    <s v="Preliminary"/>
    <n v="1"/>
    <s v="Middle Belt"/>
    <n v="0.125"/>
  </r>
  <r>
    <s v="Sakafia Islamic"/>
    <s v="Sakafia Islamic Senior High School"/>
    <x v="1"/>
    <x v="1"/>
    <x v="3"/>
    <n v="29"/>
    <n v="2"/>
    <x v="1"/>
    <s v="2022_0.125_Ghana SHS Koforidua"/>
    <s v="Preliminary"/>
    <n v="0"/>
    <s v="Middle Belt"/>
    <n v="6.25E-2"/>
  </r>
  <r>
    <s v="Wesley SHS Bekwai"/>
    <s v="Wesley High School Bekwai"/>
    <x v="1"/>
    <x v="1"/>
    <x v="3"/>
    <n v="25"/>
    <n v="3"/>
    <x v="1"/>
    <s v="2022_0.125_Ghana SHS Koforidua"/>
    <s v="Preliminary"/>
    <n v="0"/>
    <s v="Middle Belt"/>
    <n v="4.1666666666666664E-2"/>
  </r>
  <r>
    <s v="Kumasi sectec"/>
    <s v="Kumasi Senior High Technical School"/>
    <x v="1"/>
    <x v="1"/>
    <x v="3"/>
    <n v="22"/>
    <n v="1"/>
    <x v="1"/>
    <s v="2022_0.125_Kumasi sectec"/>
    <s v="Preliminary"/>
    <n v="1"/>
    <s v="Middle Belt"/>
    <n v="0.125"/>
  </r>
  <r>
    <s v="KOSS"/>
    <s v="Konongo Odumase Senior High School"/>
    <x v="1"/>
    <x v="1"/>
    <x v="3"/>
    <n v="17"/>
    <n v="2"/>
    <x v="1"/>
    <s v="2022_0.125_Kumasi sectec"/>
    <s v="Preliminary"/>
    <n v="0"/>
    <s v="Middle Belt"/>
    <n v="6.25E-2"/>
  </r>
  <r>
    <s v="St. Mary's Accra"/>
    <s v="St. Mary's Senior High School"/>
    <x v="0"/>
    <x v="2"/>
    <x v="3"/>
    <n v="17"/>
    <n v="3"/>
    <x v="1"/>
    <s v="2022_0.125_Kumasi sectec"/>
    <s v="Preliminary"/>
    <n v="0"/>
    <s v="Coastal"/>
    <n v="4.1666666666666664E-2"/>
  </r>
  <r>
    <s v="Kuhis"/>
    <s v="Kumasi High School"/>
    <x v="1"/>
    <x v="0"/>
    <x v="3"/>
    <n v="48"/>
    <n v="1"/>
    <x v="1"/>
    <s v="2022_0.125_Kuhis"/>
    <s v="Preliminary"/>
    <n v="1"/>
    <s v="Middle Belt"/>
    <n v="0.125"/>
  </r>
  <r>
    <s v="KNUST SHS"/>
    <s v="KNUST Senior High School"/>
    <x v="1"/>
    <x v="1"/>
    <x v="3"/>
    <n v="41"/>
    <n v="2"/>
    <x v="1"/>
    <s v="2022_0.125_Kuhis"/>
    <s v="Preliminary"/>
    <n v="0"/>
    <s v="Middle Belt"/>
    <n v="6.25E-2"/>
  </r>
  <r>
    <s v="Krogiss"/>
    <s v="Krobo Girls' Senior High School"/>
    <x v="4"/>
    <x v="2"/>
    <x v="3"/>
    <n v="24"/>
    <n v="3"/>
    <x v="1"/>
    <s v="2022_0.125_Kuhis"/>
    <s v="Preliminary"/>
    <n v="0"/>
    <s v="Middle Belt"/>
    <n v="4.1666666666666664E-2"/>
  </r>
  <r>
    <s v="Xavier"/>
    <s v="St Francis Xavier Mnior Seminary"/>
    <x v="8"/>
    <x v="0"/>
    <x v="3"/>
    <n v="38"/>
    <n v="1"/>
    <x v="1"/>
    <s v="2022_0.125_Xavier"/>
    <s v="Preliminary"/>
    <n v="1"/>
    <s v="Northern"/>
    <n v="0.125"/>
  </r>
  <r>
    <s v="Apam"/>
    <s v="Apam Senior High School"/>
    <x v="2"/>
    <x v="1"/>
    <x v="3"/>
    <n v="35"/>
    <n v="2"/>
    <x v="1"/>
    <s v="2022_0.125_Xavier"/>
    <s v="Preliminary"/>
    <n v="0"/>
    <s v="Coastal"/>
    <n v="6.25E-2"/>
  </r>
  <r>
    <s v="Oda SHS"/>
    <s v="Oda SHS Senior High School"/>
    <x v="4"/>
    <x v="1"/>
    <x v="3"/>
    <n v="31"/>
    <n v="3"/>
    <x v="1"/>
    <s v="2022_0.125_Xavier"/>
    <s v="Preliminary"/>
    <n v="0"/>
    <s v="Middle Belt"/>
    <n v="4.1666666666666664E-2"/>
  </r>
  <r>
    <s v="OKESS"/>
    <s v="Osei Kyeretwie Senior High School"/>
    <x v="1"/>
    <x v="1"/>
    <x v="3"/>
    <n v="38"/>
    <n v="1"/>
    <x v="1"/>
    <s v="2022_0.125_OKESS"/>
    <s v="Preliminary"/>
    <n v="1"/>
    <s v="Middle Belt"/>
    <n v="0.125"/>
  </r>
  <r>
    <s v="YASS"/>
    <s v="Yaa Asantewaa Girls' Senior High School"/>
    <x v="1"/>
    <x v="2"/>
    <x v="3"/>
    <n v="24"/>
    <n v="2"/>
    <x v="1"/>
    <s v="2022_0.125_OKESS"/>
    <s v="Preliminary"/>
    <n v="0"/>
    <s v="Middle Belt"/>
    <n v="6.25E-2"/>
  </r>
  <r>
    <s v="Bolgatanga SHS"/>
    <s v="Bolgatanga Senior High School"/>
    <x v="10"/>
    <x v="1"/>
    <x v="3"/>
    <n v="3"/>
    <n v="3"/>
    <x v="1"/>
    <s v="2022_0.125_OKESS"/>
    <s v="Preliminary"/>
    <n v="0"/>
    <s v="Northern"/>
    <n v="4.1666666666666664E-2"/>
  </r>
  <r>
    <s v="Ghanata"/>
    <s v="Ghanata Senior High School"/>
    <x v="0"/>
    <x v="1"/>
    <x v="3"/>
    <n v="28"/>
    <n v="1"/>
    <x v="1"/>
    <s v="2022_0.125_Ghanata"/>
    <s v="Preliminary"/>
    <n v="1"/>
    <s v="Coastal"/>
    <n v="0.125"/>
  </r>
  <r>
    <s v="St. Louis"/>
    <s v="St. Louis Senior High School"/>
    <x v="1"/>
    <x v="2"/>
    <x v="3"/>
    <n v="21"/>
    <n v="2"/>
    <x v="1"/>
    <s v="2022_0.125_Ghanata"/>
    <s v="Preliminary"/>
    <n v="0"/>
    <s v="Middle Belt"/>
    <n v="6.25E-2"/>
  </r>
  <r>
    <s v="Odorgonno"/>
    <s v="Odorgonno Senior High School"/>
    <x v="0"/>
    <x v="1"/>
    <x v="3"/>
    <n v="21"/>
    <n v="3"/>
    <x v="1"/>
    <s v="2022_0.125_Ghanata"/>
    <s v="Preliminary"/>
    <n v="0"/>
    <s v="Coastal"/>
    <n v="4.1666666666666664E-2"/>
  </r>
  <r>
    <s v="Presec Abetifi"/>
    <s v="Abetifi Presbyterian Senior High School"/>
    <x v="4"/>
    <x v="1"/>
    <x v="3"/>
    <n v="50"/>
    <n v="1"/>
    <x v="1"/>
    <s v="2022_0.125_Presec Abetifi"/>
    <s v="Preliminary"/>
    <n v="1"/>
    <s v="Middle Belt"/>
    <n v="0.125"/>
  </r>
  <r>
    <s v="Sonrise"/>
    <s v="Sonrise Christian High School"/>
    <x v="3"/>
    <x v="1"/>
    <x v="3"/>
    <n v="28"/>
    <n v="2"/>
    <x v="1"/>
    <s v="2022_0.125_Presec Abetifi"/>
    <s v="Preliminary"/>
    <n v="0"/>
    <s v="Coastal"/>
    <n v="6.25E-2"/>
  </r>
  <r>
    <s v="K Wegehey"/>
    <s v="Kumasi Wesley Girls' Senior High School"/>
    <x v="1"/>
    <x v="2"/>
    <x v="3"/>
    <n v="2"/>
    <n v="3"/>
    <x v="1"/>
    <s v="2022_0.125_Presec Abetifi"/>
    <s v="Preliminary"/>
    <n v="0"/>
    <s v="Middle Belt"/>
    <n v="4.1666666666666664E-2"/>
  </r>
  <r>
    <s v="St Hubert"/>
    <s v="St. Hubert Seminary Senior High School"/>
    <x v="1"/>
    <x v="0"/>
    <x v="3"/>
    <n v="30"/>
    <n v="1"/>
    <x v="1"/>
    <s v="2022_0.125_St Hubert"/>
    <s v="Preliminary"/>
    <n v="1"/>
    <s v="Middle Belt"/>
    <n v="0.125"/>
  </r>
  <r>
    <s v="Ashaiman SHS"/>
    <s v="Ashaiman Senior High School"/>
    <x v="0"/>
    <x v="1"/>
    <x v="3"/>
    <n v="25"/>
    <n v="2"/>
    <x v="1"/>
    <s v="2022_0.125_St Hubert"/>
    <s v="Preliminary"/>
    <n v="0"/>
    <s v="Coastal"/>
    <n v="6.25E-2"/>
  </r>
  <r>
    <s v="Sogasco"/>
    <s v="Sogakofe Senior High School"/>
    <x v="3"/>
    <x v="1"/>
    <x v="3"/>
    <n v="13"/>
    <n v="3"/>
    <x v="1"/>
    <s v="2022_0.125_St Hubert"/>
    <s v="Preliminary"/>
    <n v="0"/>
    <s v="Coastal"/>
    <n v="4.1666666666666664E-2"/>
  </r>
  <r>
    <s v="Tamale SHS"/>
    <s v="Tamale SHS Senior High School"/>
    <x v="7"/>
    <x v="1"/>
    <x v="3"/>
    <n v="34"/>
    <n v="1"/>
    <x v="1"/>
    <s v="2022_0.125_Tamale SHS"/>
    <s v="Preliminary"/>
    <n v="1"/>
    <s v="Northern"/>
    <n v="0.125"/>
  </r>
  <r>
    <s v="Mankranso SHS"/>
    <s v="Mankranso Senior High School"/>
    <x v="1"/>
    <x v="1"/>
    <x v="3"/>
    <n v="31"/>
    <n v="2"/>
    <x v="1"/>
    <s v="2022_0.125_Tamale SHS"/>
    <s v="Preliminary"/>
    <n v="0"/>
    <s v="Middle Belt"/>
    <n v="6.25E-2"/>
  </r>
  <r>
    <s v="SDA Bekwai"/>
    <s v="SDA Senior High School, Bekwai"/>
    <x v="1"/>
    <x v="1"/>
    <x v="3"/>
    <n v="10"/>
    <n v="3"/>
    <x v="1"/>
    <s v="2022_0.125_Tamale SHS"/>
    <s v="Preliminary"/>
    <n v="0"/>
    <s v="Middle Belt"/>
    <n v="4.1666666666666664E-2"/>
  </r>
  <r>
    <s v="Mawuli"/>
    <s v="Mawuli School"/>
    <x v="3"/>
    <x v="1"/>
    <x v="3"/>
    <n v="53"/>
    <n v="1"/>
    <x v="1"/>
    <s v="2022_0.125_Mawuli"/>
    <s v="Preliminary"/>
    <n v="1"/>
    <s v="Coastal"/>
    <n v="0.125"/>
  </r>
  <r>
    <s v="Wegehey"/>
    <s v="Wesley Girls' Senior High School"/>
    <x v="2"/>
    <x v="2"/>
    <x v="3"/>
    <n v="29"/>
    <n v="2"/>
    <x v="1"/>
    <s v="2022_0.125_Mawuli"/>
    <s v="Preliminary"/>
    <n v="0"/>
    <s v="Coastal"/>
    <n v="6.25E-2"/>
  </r>
  <r>
    <s v="Awudome SHS"/>
    <s v="Awudome Senior High School"/>
    <x v="3"/>
    <x v="1"/>
    <x v="3"/>
    <n v="18"/>
    <n v="3"/>
    <x v="1"/>
    <s v="2022_0.125_Mawuli"/>
    <s v="Preliminary"/>
    <n v="0"/>
    <s v="Coastal"/>
    <n v="4.1666666666666664E-2"/>
  </r>
  <r>
    <s v="Mfantsipim"/>
    <s v="Mfantsipim School"/>
    <x v="2"/>
    <x v="0"/>
    <x v="3"/>
    <n v="39"/>
    <n v="1"/>
    <x v="1"/>
    <s v="2022_0.125_Mfantsipim"/>
    <s v="Preliminary"/>
    <n v="1"/>
    <s v="Coastal"/>
    <n v="0.125"/>
  </r>
  <r>
    <s v="Presec Suhum"/>
    <s v="Presbyterian Senior High School, Suhum"/>
    <x v="4"/>
    <x v="1"/>
    <x v="3"/>
    <n v="38"/>
    <n v="2"/>
    <x v="1"/>
    <s v="2022_0.125_Mfantsipim"/>
    <s v="Preliminary"/>
    <n v="0"/>
    <s v="Middle Belt"/>
    <n v="6.25E-2"/>
  </r>
  <r>
    <s v="Techiman SHS"/>
    <s v="Techiman Senior High School"/>
    <x v="9"/>
    <x v="1"/>
    <x v="3"/>
    <n v="27"/>
    <n v="3"/>
    <x v="1"/>
    <s v="2022_0.125_Mfantsipim"/>
    <s v="Preliminary"/>
    <n v="0"/>
    <s v="Middle Belt"/>
    <n v="4.1666666666666664E-2"/>
  </r>
  <r>
    <s v="Presby SHTS Aburi"/>
    <s v="Aburi Presbyterian Senior High Technical School"/>
    <x v="4"/>
    <x v="1"/>
    <x v="3"/>
    <n v="47"/>
    <n v="1"/>
    <x v="1"/>
    <s v="2022_0.125_Presby SHTS Aburi"/>
    <s v="Preliminary"/>
    <n v="1"/>
    <s v="Middle Belt"/>
    <n v="1"/>
  </r>
  <r>
    <s v="KASS"/>
    <s v="Anglican Senior High School, Kumasi"/>
    <x v="1"/>
    <x v="1"/>
    <x v="3"/>
    <n v="27"/>
    <n v="2"/>
    <x v="1"/>
    <s v="2022_0.125_Presby SHTS Aburi"/>
    <s v="Preliminary"/>
    <n v="0"/>
    <s v="Middle Belt"/>
    <n v="0.5"/>
  </r>
  <r>
    <s v="Nkwatia Presby SHS"/>
    <s v="Nkwatia Presbyterian Senior High School"/>
    <x v="4"/>
    <x v="1"/>
    <x v="3"/>
    <n v="25"/>
    <n v="3"/>
    <x v="1"/>
    <s v="2022_0.125_Presby SHTS Aburi"/>
    <s v="Preliminary"/>
    <n v="0"/>
    <s v="Middle Belt"/>
    <n v="0.33333333333333331"/>
  </r>
  <r>
    <s v="Prempeh"/>
    <s v="Prempeh College"/>
    <x v="1"/>
    <x v="0"/>
    <x v="0"/>
    <n v="53"/>
    <n v="1"/>
    <x v="2"/>
    <s v="2021_1.0_Prempeh"/>
    <s v="Final"/>
    <n v="1"/>
    <s v="Middle Belt"/>
    <n v="0.5"/>
  </r>
  <r>
    <s v="Presec Legon"/>
    <s v="Presbyterian Boys' Senior High School"/>
    <x v="0"/>
    <x v="0"/>
    <x v="0"/>
    <n v="49"/>
    <n v="2"/>
    <x v="2"/>
    <s v="2021_1.0_Prempeh"/>
    <s v="Final"/>
    <n v="0"/>
    <s v="Coastal"/>
    <n v="0.25"/>
  </r>
  <r>
    <s v="Keta"/>
    <s v="Keta Senior High Technical School"/>
    <x v="3"/>
    <x v="1"/>
    <x v="0"/>
    <n v="30"/>
    <n v="3"/>
    <x v="2"/>
    <s v="2021_1.0_Prempeh"/>
    <s v="Final"/>
    <n v="0"/>
    <s v="Coastal"/>
    <n v="0.16666666666666666"/>
  </r>
  <r>
    <s v="Prempeh"/>
    <s v="Prempeh College"/>
    <x v="1"/>
    <x v="0"/>
    <x v="1"/>
    <n v="67"/>
    <n v="1"/>
    <x v="2"/>
    <s v="2021_0.5_Prempeh"/>
    <s v="Semifinal"/>
    <n v="1"/>
    <s v="Middle Belt"/>
    <n v="0.5"/>
  </r>
  <r>
    <s v="Owass"/>
    <s v="Opoku Ware Senior High School"/>
    <x v="1"/>
    <x v="0"/>
    <x v="1"/>
    <n v="59"/>
    <n v="2"/>
    <x v="2"/>
    <s v="2021_0.5_Prempeh"/>
    <s v="Semifinal"/>
    <n v="0"/>
    <s v="Middle Belt"/>
    <n v="0.25"/>
  </r>
  <r>
    <s v="KNUST SHS"/>
    <s v="KNUST Senior High School"/>
    <x v="1"/>
    <x v="1"/>
    <x v="1"/>
    <n v="38"/>
    <n v="3"/>
    <x v="2"/>
    <s v="2021_0.5_Prempeh"/>
    <s v="Semifinal"/>
    <n v="0"/>
    <s v="Middle Belt"/>
    <n v="0.16666666666666666"/>
  </r>
  <r>
    <s v="Presec Legon"/>
    <s v="Presbyterian Boys' Senior High School"/>
    <x v="0"/>
    <x v="0"/>
    <x v="1"/>
    <n v="50"/>
    <n v="1"/>
    <x v="2"/>
    <s v="2021_0.5_Presec Legon"/>
    <s v="Semifinal"/>
    <n v="1"/>
    <s v="Coastal"/>
    <n v="0.5"/>
  </r>
  <r>
    <s v="Persco"/>
    <s v="St. Peter's Senior High School"/>
    <x v="4"/>
    <x v="0"/>
    <x v="1"/>
    <n v="34"/>
    <n v="2"/>
    <x v="2"/>
    <s v="2021_0.5_Presec Legon"/>
    <s v="Semifinal"/>
    <n v="0"/>
    <s v="Middle Belt"/>
    <n v="0.25"/>
  </r>
  <r>
    <s v="Chemu SHS"/>
    <s v="Chemu Senior High School"/>
    <x v="0"/>
    <x v="1"/>
    <x v="1"/>
    <n v="21"/>
    <n v="3"/>
    <x v="2"/>
    <s v="2021_0.5_Presec Legon"/>
    <s v="Semifinal"/>
    <n v="0"/>
    <s v="Coastal"/>
    <n v="0.16666666666666666"/>
  </r>
  <r>
    <s v="Keta"/>
    <s v="Keta Senior High Technical School"/>
    <x v="3"/>
    <x v="1"/>
    <x v="1"/>
    <n v="53"/>
    <n v="1"/>
    <x v="2"/>
    <s v="2021_0.5_Keta"/>
    <s v="Semifinal"/>
    <n v="1"/>
    <s v="Coastal"/>
    <n v="0.25"/>
  </r>
  <r>
    <s v="Wegehey"/>
    <s v="Wesley Girls' Senior High School"/>
    <x v="2"/>
    <x v="2"/>
    <x v="1"/>
    <n v="35"/>
    <n v="2"/>
    <x v="2"/>
    <s v="2021_0.5_Keta"/>
    <s v="Semifinal"/>
    <n v="0"/>
    <s v="Coastal"/>
    <n v="0.125"/>
  </r>
  <r>
    <s v="Tamale SHS"/>
    <s v="Tamale SHS Senior High School"/>
    <x v="7"/>
    <x v="1"/>
    <x v="1"/>
    <n v="31"/>
    <n v="3"/>
    <x v="2"/>
    <s v="2021_0.5_Keta"/>
    <s v="Semifinal"/>
    <n v="0"/>
    <s v="Northern"/>
    <n v="8.3333333333333329E-2"/>
  </r>
  <r>
    <s v="Wegehey"/>
    <s v="Wesley Girls' Senior High School"/>
    <x v="2"/>
    <x v="2"/>
    <x v="2"/>
    <n v="55"/>
    <n v="1"/>
    <x v="2"/>
    <s v="2021_0.25_Wegehey"/>
    <s v="Quarterfinal"/>
    <n v="1"/>
    <s v="Coastal"/>
    <n v="0.25"/>
  </r>
  <r>
    <s v="PJ"/>
    <s v="Pope John Senior High School and Minor Seminary"/>
    <x v="4"/>
    <x v="0"/>
    <x v="2"/>
    <n v="48"/>
    <n v="2"/>
    <x v="2"/>
    <s v="2021_0.25_Wegehey"/>
    <s v="Quarterfinal"/>
    <n v="0"/>
    <s v="Middle Belt"/>
    <n v="0.125"/>
  </r>
  <r>
    <s v="KOSS"/>
    <s v="Konongo Odumase Senior High School"/>
    <x v="1"/>
    <x v="1"/>
    <x v="2"/>
    <n v="25"/>
    <n v="3"/>
    <x v="2"/>
    <s v="2021_0.25_Wegehey"/>
    <s v="Quarterfinal"/>
    <n v="0"/>
    <s v="Middle Belt"/>
    <n v="8.3333333333333329E-2"/>
  </r>
  <r>
    <s v="Chemu SHS"/>
    <s v="Chemu Senior High School"/>
    <x v="0"/>
    <x v="1"/>
    <x v="2"/>
    <n v="47"/>
    <n v="1"/>
    <x v="2"/>
    <s v="2021_0.25_Chemu SHS"/>
    <s v="Quarterfinal"/>
    <n v="1"/>
    <s v="Coastal"/>
    <n v="0.25"/>
  </r>
  <r>
    <s v="Augusco"/>
    <s v="St. Augustine's College"/>
    <x v="2"/>
    <x v="0"/>
    <x v="2"/>
    <n v="44"/>
    <n v="2"/>
    <x v="2"/>
    <s v="2021_0.25_Chemu SHS"/>
    <s v="Quarterfinal"/>
    <n v="0"/>
    <s v="Coastal"/>
    <n v="0.125"/>
  </r>
  <r>
    <s v="Kanton"/>
    <s v="Kanton Senior High School"/>
    <x v="8"/>
    <x v="1"/>
    <x v="2"/>
    <n v="30"/>
    <n v="3"/>
    <x v="2"/>
    <s v="2021_0.25_Chemu SHS"/>
    <s v="Quarterfinal"/>
    <n v="0"/>
    <s v="Northern"/>
    <n v="8.3333333333333329E-2"/>
  </r>
  <r>
    <s v="Tamale SHS"/>
    <s v="Tamale SHS Senior High School"/>
    <x v="7"/>
    <x v="1"/>
    <x v="2"/>
    <n v="59"/>
    <n v="1"/>
    <x v="2"/>
    <s v="2021_0.25_Tamale SHS"/>
    <s v="Quarterfinal"/>
    <n v="1"/>
    <s v="Northern"/>
    <n v="0.25"/>
  </r>
  <r>
    <s v="Kumaca"/>
    <s v="Kumasi Academy"/>
    <x v="1"/>
    <x v="1"/>
    <x v="2"/>
    <n v="44"/>
    <n v="2"/>
    <x v="2"/>
    <s v="2021_0.25_Tamale SHS"/>
    <s v="Quarterfinal"/>
    <n v="0"/>
    <s v="Middle Belt"/>
    <n v="0.125"/>
  </r>
  <r>
    <s v="Adisco"/>
    <s v="Adisadel College"/>
    <x v="2"/>
    <x v="0"/>
    <x v="2"/>
    <n v="36"/>
    <n v="3"/>
    <x v="2"/>
    <s v="2021_0.25_Tamale SHS"/>
    <s v="Quarterfinal"/>
    <n v="0"/>
    <s v="Coastal"/>
    <n v="8.3333333333333329E-2"/>
  </r>
  <r>
    <s v="Owass"/>
    <s v="Opoku Ware Senior High School"/>
    <x v="1"/>
    <x v="0"/>
    <x v="2"/>
    <n v="56"/>
    <n v="1"/>
    <x v="2"/>
    <s v="2021_0.25_Owass"/>
    <s v="Quarterfinal"/>
    <n v="1"/>
    <s v="Middle Belt"/>
    <n v="0.25"/>
  </r>
  <r>
    <s v="Ghana SHS Koforidua"/>
    <s v="Ghana Senior High School, Koforidua"/>
    <x v="4"/>
    <x v="1"/>
    <x v="2"/>
    <n v="36"/>
    <n v="2"/>
    <x v="2"/>
    <s v="2021_0.25_Owass"/>
    <s v="Quarterfinal"/>
    <n v="0"/>
    <s v="Middle Belt"/>
    <n v="0.125"/>
  </r>
  <r>
    <s v="Oda SHS"/>
    <s v="Oda SHS Senior High School"/>
    <x v="4"/>
    <x v="1"/>
    <x v="2"/>
    <n v="28"/>
    <n v="3"/>
    <x v="2"/>
    <s v="2021_0.25_Owass"/>
    <s v="Quarterfinal"/>
    <n v="0"/>
    <s v="Middle Belt"/>
    <n v="8.3333333333333329E-2"/>
  </r>
  <r>
    <s v="Prempeh"/>
    <s v="Prempeh College"/>
    <x v="1"/>
    <x v="0"/>
    <x v="2"/>
    <n v="67"/>
    <n v="1"/>
    <x v="2"/>
    <s v="2021_0.25_Prempeh"/>
    <s v="Quarterfinal"/>
    <n v="1"/>
    <s v="Middle Belt"/>
    <n v="0.25"/>
  </r>
  <r>
    <s v="Sogakope SHS"/>
    <s v="Sogakope Senior High School"/>
    <x v="3"/>
    <x v="1"/>
    <x v="2"/>
    <n v="30"/>
    <n v="2"/>
    <x v="2"/>
    <s v="2021_0.25_Prempeh"/>
    <s v="Quarterfinal"/>
    <n v="0"/>
    <s v="Coastal"/>
    <n v="0.125"/>
  </r>
  <r>
    <s v="KASS"/>
    <s v="Anglican Senior High School, Kumasi"/>
    <x v="1"/>
    <x v="1"/>
    <x v="2"/>
    <n v="24"/>
    <n v="3"/>
    <x v="2"/>
    <s v="2021_0.25_Prempeh"/>
    <s v="Quarterfinal"/>
    <n v="0"/>
    <s v="Middle Belt"/>
    <n v="8.3333333333333329E-2"/>
  </r>
  <r>
    <s v="Presec Legon"/>
    <s v="Presbyterian Boys' Senior High School"/>
    <x v="0"/>
    <x v="0"/>
    <x v="2"/>
    <n v="70"/>
    <n v="1"/>
    <x v="2"/>
    <s v="2021_0.25_Presec Legon"/>
    <s v="Quarterfinal"/>
    <n v="1"/>
    <s v="Coastal"/>
    <n v="0.25"/>
  </r>
  <r>
    <s v="Swedru SHS"/>
    <s v="Swedru Senior High School"/>
    <x v="2"/>
    <x v="1"/>
    <x v="2"/>
    <n v="49"/>
    <n v="2"/>
    <x v="2"/>
    <s v="2021_0.25_Presec Legon"/>
    <s v="Quarterfinal"/>
    <n v="0"/>
    <s v="Coastal"/>
    <n v="0.125"/>
  </r>
  <r>
    <s v="Techiman SHS"/>
    <s v="Techiman Senior High School"/>
    <x v="9"/>
    <x v="1"/>
    <x v="2"/>
    <n v="34"/>
    <n v="3"/>
    <x v="2"/>
    <s v="2021_0.25_Presec Legon"/>
    <s v="Quarterfinal"/>
    <n v="0"/>
    <s v="Middle Belt"/>
    <n v="8.3333333333333329E-2"/>
  </r>
  <r>
    <s v="Persco"/>
    <s v="St. Peter's Senior High School"/>
    <x v="4"/>
    <x v="0"/>
    <x v="2"/>
    <n v="67"/>
    <n v="1"/>
    <x v="2"/>
    <s v="2021_0.25_Persco"/>
    <s v="Quarterfinal"/>
    <n v="1"/>
    <s v="Middle Belt"/>
    <n v="0.25"/>
  </r>
  <r>
    <s v="Sonrise"/>
    <s v="Sonrise Christian High School"/>
    <x v="3"/>
    <x v="1"/>
    <x v="2"/>
    <n v="35"/>
    <n v="2"/>
    <x v="2"/>
    <s v="2021_0.25_Persco"/>
    <s v="Quarterfinal"/>
    <n v="0"/>
    <s v="Coastal"/>
    <n v="0.125"/>
  </r>
  <r>
    <s v="Bolgatanga SHS"/>
    <s v="Bolgatanga Senior High School"/>
    <x v="10"/>
    <x v="1"/>
    <x v="2"/>
    <n v="20"/>
    <n v="3"/>
    <x v="2"/>
    <s v="2021_0.25_Persco"/>
    <s v="Quarterfinal"/>
    <n v="0"/>
    <s v="Northern"/>
    <n v="8.3333333333333329E-2"/>
  </r>
  <r>
    <s v="Keta"/>
    <s v="Keta Senior High Technical School"/>
    <x v="3"/>
    <x v="1"/>
    <x v="2"/>
    <n v="68"/>
    <n v="1"/>
    <x v="2"/>
    <s v="2021_0.25_Keta"/>
    <s v="Quarterfinal"/>
    <n v="1"/>
    <s v="Coastal"/>
    <n v="0.25"/>
  </r>
  <r>
    <s v="St. Louis"/>
    <s v="St. Louis Senior High School"/>
    <x v="1"/>
    <x v="2"/>
    <x v="2"/>
    <n v="51"/>
    <n v="2"/>
    <x v="2"/>
    <s v="2021_0.25_Keta"/>
    <s v="Quarterfinal"/>
    <n v="0"/>
    <s v="Middle Belt"/>
    <n v="0.125"/>
  </r>
  <r>
    <s v="Ghana National"/>
    <s v="Ghana National College"/>
    <x v="2"/>
    <x v="1"/>
    <x v="2"/>
    <n v="45"/>
    <n v="3"/>
    <x v="2"/>
    <s v="2021_0.25_Keta"/>
    <s v="Quarterfinal"/>
    <n v="0"/>
    <s v="Coastal"/>
    <n v="8.3333333333333329E-2"/>
  </r>
  <r>
    <s v="KNUST SHS"/>
    <s v="KNUST Senior High School"/>
    <x v="1"/>
    <x v="1"/>
    <x v="2"/>
    <n v="55"/>
    <n v="1"/>
    <x v="2"/>
    <s v="2021_0.25_KNUST SHS"/>
    <s v="Quarterfinal"/>
    <n v="1"/>
    <s v="Middle Belt"/>
    <n v="0.125"/>
  </r>
  <r>
    <s v="Accra Aca"/>
    <s v="Accra Academy"/>
    <x v="0"/>
    <x v="0"/>
    <x v="2"/>
    <n v="52"/>
    <n v="2"/>
    <x v="2"/>
    <s v="2021_0.25_KNUST SHS"/>
    <s v="Quarterfinal"/>
    <n v="0"/>
    <s v="Coastal"/>
    <n v="6.25E-2"/>
  </r>
  <r>
    <s v="Ola SHS"/>
    <s v="OLA Girls' Senior High School"/>
    <x v="3"/>
    <x v="2"/>
    <x v="2"/>
    <n v="45"/>
    <n v="3"/>
    <x v="2"/>
    <s v="2021_0.25_KNUST SHS"/>
    <s v="Quarterfinal"/>
    <n v="0"/>
    <s v="Coastal"/>
    <n v="4.1666666666666664E-2"/>
  </r>
  <r>
    <s v="KNUST SHS"/>
    <s v="KNUST Senior High School"/>
    <x v="1"/>
    <x v="1"/>
    <x v="3"/>
    <n v="53"/>
    <n v="1"/>
    <x v="2"/>
    <s v="2021_0.125_KNUST SHS"/>
    <s v="Preliminary"/>
    <n v="1"/>
    <s v="Middle Belt"/>
    <n v="0.125"/>
  </r>
  <r>
    <s v="Presby SHTS Aburi"/>
    <s v="Aburi Presbyterian Senior High Technical School"/>
    <x v="4"/>
    <x v="1"/>
    <x v="3"/>
    <n v="32"/>
    <n v="2"/>
    <x v="2"/>
    <s v="2021_0.125_KNUST SHS"/>
    <s v="Preliminary"/>
    <n v="0"/>
    <s v="Middle Belt"/>
    <n v="6.25E-2"/>
  </r>
  <r>
    <s v="St. Johns School"/>
    <s v="St. Johns School Senior High School"/>
    <x v="5"/>
    <x v="0"/>
    <x v="3"/>
    <n v="29"/>
    <n v="3"/>
    <x v="2"/>
    <s v="2021_0.125_KNUST SHS"/>
    <s v="Preliminary"/>
    <n v="0"/>
    <s v="Coastal"/>
    <n v="4.1666666666666664E-2"/>
  </r>
  <r>
    <s v="Ghana National"/>
    <s v="Ghana National College"/>
    <x v="2"/>
    <x v="1"/>
    <x v="3"/>
    <n v="41"/>
    <n v="1"/>
    <x v="2"/>
    <s v="2021_0.125_Ghana National"/>
    <s v="Preliminary"/>
    <n v="1"/>
    <s v="Coastal"/>
    <n v="0.125"/>
  </r>
  <r>
    <s v="Mfantsipim"/>
    <s v="Mfantsipim School"/>
    <x v="2"/>
    <x v="0"/>
    <x v="3"/>
    <n v="38"/>
    <n v="2"/>
    <x v="2"/>
    <s v="2021_0.125_Ghana National"/>
    <s v="Preliminary"/>
    <n v="0"/>
    <s v="Coastal"/>
    <n v="6.25E-2"/>
  </r>
  <r>
    <s v="TI Amass Kumasi"/>
    <s v="TI Ahmadiyya Senior High School, Kumasi"/>
    <x v="1"/>
    <x v="1"/>
    <x v="3"/>
    <n v="25"/>
    <n v="3"/>
    <x v="2"/>
    <s v="2021_0.125_Ghana National"/>
    <s v="Preliminary"/>
    <n v="0"/>
    <s v="Middle Belt"/>
    <n v="4.1666666666666664E-2"/>
  </r>
  <r>
    <s v="Tamale SHS"/>
    <s v="Tamale SHS Senior High School"/>
    <x v="7"/>
    <x v="1"/>
    <x v="3"/>
    <n v="56"/>
    <n v="1"/>
    <x v="2"/>
    <s v="2021_0.125_Tamale SHS"/>
    <s v="Preliminary"/>
    <n v="1"/>
    <s v="Northern"/>
    <n v="0.125"/>
  </r>
  <r>
    <s v="Achimota"/>
    <s v="Achimota School"/>
    <x v="0"/>
    <x v="1"/>
    <x v="3"/>
    <n v="48"/>
    <n v="2"/>
    <x v="2"/>
    <s v="2021_0.125_Tamale SHS"/>
    <s v="Preliminary"/>
    <n v="0"/>
    <s v="Coastal"/>
    <n v="6.25E-2"/>
  </r>
  <r>
    <s v="Kalpohin Shs"/>
    <s v="Kalpohin Senior High School"/>
    <x v="7"/>
    <x v="1"/>
    <x v="3"/>
    <n v="14"/>
    <n v="3"/>
    <x v="2"/>
    <s v="2021_0.125_Tamale SHS"/>
    <s v="Preliminary"/>
    <n v="0"/>
    <s v="Northern"/>
    <n v="4.1666666666666664E-2"/>
  </r>
  <r>
    <s v="Prempeh"/>
    <s v="Prempeh College"/>
    <x v="1"/>
    <x v="0"/>
    <x v="3"/>
    <n v="62"/>
    <n v="1"/>
    <x v="2"/>
    <s v="2021_0.125_Prempeh"/>
    <s v="Preliminary"/>
    <n v="1"/>
    <s v="Middle Belt"/>
    <n v="0.125"/>
  </r>
  <r>
    <s v="Tema Methodist"/>
    <s v="Tema Methodist Day Secondary School"/>
    <x v="0"/>
    <x v="1"/>
    <x v="3"/>
    <n v="20"/>
    <n v="2"/>
    <x v="2"/>
    <s v="2021_0.125_Prempeh"/>
    <s v="Preliminary"/>
    <n v="0"/>
    <s v="Coastal"/>
    <n v="6.25E-2"/>
  </r>
  <r>
    <s v="Nkoranza SHTS"/>
    <s v="Nkoranza Senior High Technical School"/>
    <x v="9"/>
    <x v="1"/>
    <x v="3"/>
    <n v="19"/>
    <n v="3"/>
    <x v="2"/>
    <s v="2021_0.125_Prempeh"/>
    <s v="Preliminary"/>
    <n v="0"/>
    <s v="Middle Belt"/>
    <n v="4.1666666666666664E-2"/>
  </r>
  <r>
    <s v="Bolgatanga SHS"/>
    <s v="Bolgatanga Senior High School"/>
    <x v="10"/>
    <x v="1"/>
    <x v="3"/>
    <n v="41"/>
    <n v="1"/>
    <x v="2"/>
    <s v="2021_0.125_Bolgatanga SHS"/>
    <s v="Preliminary"/>
    <n v="1"/>
    <s v="Northern"/>
    <n v="0.125"/>
  </r>
  <r>
    <s v="Abusco"/>
    <s v="Abuakwa State College"/>
    <x v="4"/>
    <x v="1"/>
    <x v="3"/>
    <n v="29"/>
    <n v="2"/>
    <x v="2"/>
    <s v="2021_0.125_Bolgatanga SHS"/>
    <s v="Preliminary"/>
    <n v="0"/>
    <s v="Middle Belt"/>
    <n v="6.25E-2"/>
  </r>
  <r>
    <s v="Northern School of Business"/>
    <s v="Northern School of Business"/>
    <x v="7"/>
    <x v="1"/>
    <x v="3"/>
    <n v="24"/>
    <n v="3"/>
    <x v="2"/>
    <s v="2021_0.125_Bolgatanga SHS"/>
    <s v="Preliminary"/>
    <n v="0"/>
    <s v="Northern"/>
    <n v="4.1666666666666664E-2"/>
  </r>
  <r>
    <s v="Wegehey"/>
    <s v="Wesley Girls' Senior High School"/>
    <x v="2"/>
    <x v="2"/>
    <x v="3"/>
    <n v="39"/>
    <n v="1"/>
    <x v="2"/>
    <s v="2021_0.125_Wegehey"/>
    <s v="Preliminary"/>
    <n v="1"/>
    <s v="Coastal"/>
    <n v="0.125"/>
  </r>
  <r>
    <s v="Xavier"/>
    <s v="St Francis Xavier Mnior Seminary"/>
    <x v="8"/>
    <x v="0"/>
    <x v="3"/>
    <n v="35"/>
    <n v="2"/>
    <x v="2"/>
    <s v="2021_0.125_Wegehey"/>
    <s v="Preliminary"/>
    <n v="0"/>
    <s v="Northern"/>
    <n v="6.25E-2"/>
  </r>
  <r>
    <s v="Aburi Girls"/>
    <s v="Aburi Girls' Senior High School"/>
    <x v="4"/>
    <x v="2"/>
    <x v="3"/>
    <n v="30"/>
    <n v="3"/>
    <x v="2"/>
    <s v="2021_0.125_Wegehey"/>
    <s v="Preliminary"/>
    <n v="0"/>
    <s v="Middle Belt"/>
    <n v="4.1666666666666664E-2"/>
  </r>
  <r>
    <s v="Sogakope SHS"/>
    <s v="Sogakope Senior High School"/>
    <x v="3"/>
    <x v="1"/>
    <x v="3"/>
    <n v="46"/>
    <n v="1"/>
    <x v="2"/>
    <s v="2021_0.125_Sogakope SHS"/>
    <s v="Preliminary"/>
    <n v="1"/>
    <s v="Coastal"/>
    <n v="0.125"/>
  </r>
  <r>
    <s v="Sunyani SHS"/>
    <s v="Sunyani Senior High School"/>
    <x v="6"/>
    <x v="1"/>
    <x v="3"/>
    <n v="39"/>
    <n v="2"/>
    <x v="2"/>
    <s v="2021_0.125_Sogakope SHS"/>
    <s v="Preliminary"/>
    <n v="0"/>
    <s v="Middle Belt"/>
    <n v="6.25E-2"/>
  </r>
  <r>
    <s v="Koforidua Sec Tech"/>
    <s v="Koforidua Sec Tech Senior High School"/>
    <x v="4"/>
    <x v="0"/>
    <x v="3"/>
    <n v="22"/>
    <n v="3"/>
    <x v="2"/>
    <s v="2021_0.125_Sogakope SHS"/>
    <s v="Preliminary"/>
    <n v="0"/>
    <s v="Middle Belt"/>
    <n v="4.1666666666666664E-2"/>
  </r>
  <r>
    <s v="Chemu SHS"/>
    <s v="Chemu Senior High School"/>
    <x v="0"/>
    <x v="1"/>
    <x v="3"/>
    <n v="42"/>
    <n v="1"/>
    <x v="2"/>
    <s v="2021_0.125_Chemu SHS"/>
    <s v="Preliminary"/>
    <n v="1"/>
    <s v="Coastal"/>
    <n v="0.125"/>
  </r>
  <r>
    <s v="Kumasi sectec"/>
    <s v="Kumasi Senior High Technical School"/>
    <x v="1"/>
    <x v="1"/>
    <x v="3"/>
    <n v="39"/>
    <n v="2"/>
    <x v="2"/>
    <s v="2021_0.125_Chemu SHS"/>
    <s v="Preliminary"/>
    <n v="0"/>
    <s v="Middle Belt"/>
    <n v="6.25E-2"/>
  </r>
  <r>
    <s v="St. James"/>
    <s v="St. James Seminary and Senior High School"/>
    <x v="6"/>
    <x v="0"/>
    <x v="3"/>
    <n v="35"/>
    <n v="3"/>
    <x v="2"/>
    <s v="2021_0.125_Chemu SHS"/>
    <s v="Preliminary"/>
    <n v="0"/>
    <s v="Middle Belt"/>
    <n v="4.1666666666666664E-2"/>
  </r>
  <r>
    <s v="Techiman SHS"/>
    <s v="Techiman Senior High School"/>
    <x v="9"/>
    <x v="1"/>
    <x v="3"/>
    <n v="31"/>
    <n v="1"/>
    <x v="2"/>
    <s v="2021_0.125_Techiman SHS"/>
    <s v="Preliminary"/>
    <n v="1"/>
    <s v="Middle Belt"/>
    <n v="0.125"/>
  </r>
  <r>
    <s v="Krogiss"/>
    <s v="Krobo Girls' Senior High School"/>
    <x v="4"/>
    <x v="2"/>
    <x v="3"/>
    <n v="29"/>
    <n v="2"/>
    <x v="2"/>
    <s v="2021_0.125_Techiman SHS"/>
    <s v="Preliminary"/>
    <n v="0"/>
    <s v="Middle Belt"/>
    <n v="6.25E-2"/>
  </r>
  <r>
    <s v="St Margaret Mary"/>
    <s v="St Margaret Mary Senior High School"/>
    <x v="0"/>
    <x v="1"/>
    <x v="3"/>
    <n v="11"/>
    <n v="3"/>
    <x v="2"/>
    <s v="2021_0.125_Techiman SHS"/>
    <s v="Preliminary"/>
    <n v="0"/>
    <s v="Coastal"/>
    <n v="4.1666666666666664E-2"/>
  </r>
  <r>
    <s v="Sonrise"/>
    <s v="Sonrise Christian High School"/>
    <x v="3"/>
    <x v="1"/>
    <x v="3"/>
    <n v="52"/>
    <n v="1"/>
    <x v="2"/>
    <s v="2021_0.125_Sonrise"/>
    <s v="Preliminary"/>
    <n v="1"/>
    <s v="Coastal"/>
    <n v="0.125"/>
  </r>
  <r>
    <s v="Holico"/>
    <s v="Holico Senior High School"/>
    <x v="2"/>
    <x v="2"/>
    <x v="3"/>
    <n v="42"/>
    <n v="2"/>
    <x v="2"/>
    <s v="2021_0.125_Sonrise"/>
    <s v="Preliminary"/>
    <n v="0"/>
    <s v="Coastal"/>
    <n v="6.25E-2"/>
  </r>
  <r>
    <s v="Kuhis"/>
    <s v="Kumasi High School"/>
    <x v="1"/>
    <x v="0"/>
    <x v="3"/>
    <n v="24"/>
    <n v="3"/>
    <x v="2"/>
    <s v="2021_0.125_Sonrise"/>
    <s v="Preliminary"/>
    <n v="0"/>
    <s v="Middle Belt"/>
    <n v="4.1666666666666664E-2"/>
  </r>
  <r>
    <s v="Kanton"/>
    <s v="Kanton Senior High School"/>
    <x v="8"/>
    <x v="1"/>
    <x v="3"/>
    <n v="37"/>
    <n v="1"/>
    <x v="2"/>
    <s v="2021_0.125_Kanton"/>
    <s v="Preliminary"/>
    <n v="1"/>
    <s v="Northern"/>
    <n v="0.125"/>
  </r>
  <r>
    <s v="Apam"/>
    <s v="Apam Senior High School"/>
    <x v="2"/>
    <x v="1"/>
    <x v="3"/>
    <n v="36"/>
    <n v="2"/>
    <x v="2"/>
    <s v="2021_0.125_Kanton"/>
    <s v="Preliminary"/>
    <n v="0"/>
    <s v="Coastal"/>
    <n v="6.25E-2"/>
  </r>
  <r>
    <s v="Assin State"/>
    <s v="Assin State College"/>
    <x v="2"/>
    <x v="1"/>
    <x v="3"/>
    <n v="16"/>
    <n v="3"/>
    <x v="2"/>
    <s v="2021_0.125_Kanton"/>
    <s v="Preliminary"/>
    <n v="0"/>
    <s v="Coastal"/>
    <n v="4.1666666666666664E-2"/>
  </r>
  <r>
    <s v="Adisco"/>
    <s v="Adisadel College"/>
    <x v="2"/>
    <x v="0"/>
    <x v="3"/>
    <n v="45"/>
    <n v="1"/>
    <x v="2"/>
    <s v="2021_0.125_Adisco"/>
    <s v="Preliminary"/>
    <n v="1"/>
    <s v="Coastal"/>
    <n v="0.125"/>
  </r>
  <r>
    <s v="Osei Tutu"/>
    <s v="Osei Tutu Senior High School"/>
    <x v="1"/>
    <x v="0"/>
    <x v="3"/>
    <n v="30"/>
    <n v="2"/>
    <x v="2"/>
    <s v="2021_0.125_Adisco"/>
    <s v="Preliminary"/>
    <n v="0"/>
    <s v="Middle Belt"/>
    <n v="6.25E-2"/>
  </r>
  <r>
    <s v="Biheco"/>
    <s v="Bishop Herman College"/>
    <x v="3"/>
    <x v="0"/>
    <x v="3"/>
    <n v="19"/>
    <n v="3"/>
    <x v="2"/>
    <s v="2021_0.125_Adisco"/>
    <s v="Preliminary"/>
    <n v="0"/>
    <s v="Coastal"/>
    <n v="4.1666666666666664E-2"/>
  </r>
  <r>
    <s v="Persco"/>
    <s v="St. Peter's Senior High School"/>
    <x v="4"/>
    <x v="0"/>
    <x v="3"/>
    <n v="65"/>
    <n v="1"/>
    <x v="2"/>
    <s v="2021_0.125_Persco"/>
    <s v="Preliminary"/>
    <n v="1"/>
    <s v="Middle Belt"/>
    <n v="0.125"/>
  </r>
  <r>
    <s v="Notre Dame Girls"/>
    <s v="Notre Dame Girls Senior High School"/>
    <x v="6"/>
    <x v="2"/>
    <x v="3"/>
    <n v="29"/>
    <n v="2"/>
    <x v="2"/>
    <s v="2021_0.125_Persco"/>
    <s v="Preliminary"/>
    <n v="0"/>
    <s v="Middle Belt"/>
    <n v="6.25E-2"/>
  </r>
  <r>
    <s v="Notre Dame Sem"/>
    <s v="Notre Dame Seminary Senior High School"/>
    <x v="10"/>
    <x v="0"/>
    <x v="3"/>
    <n v="29"/>
    <n v="3"/>
    <x v="2"/>
    <s v="2021_0.125_Persco"/>
    <s v="Preliminary"/>
    <n v="0"/>
    <s v="Northern"/>
    <n v="4.1666666666666664E-2"/>
  </r>
  <r>
    <s v="Augusco"/>
    <s v="St. Augustine's College"/>
    <x v="2"/>
    <x v="0"/>
    <x v="3"/>
    <n v="64"/>
    <n v="1"/>
    <x v="2"/>
    <s v="2021_0.125_Augusco"/>
    <s v="Preliminary"/>
    <n v="1"/>
    <s v="Coastal"/>
    <n v="0.125"/>
  </r>
  <r>
    <s v="Aquinas"/>
    <s v="St. Thomas Aquinas Senior High School"/>
    <x v="0"/>
    <x v="0"/>
    <x v="3"/>
    <n v="41"/>
    <n v="2"/>
    <x v="2"/>
    <s v="2021_0.125_Augusco"/>
    <s v="Preliminary"/>
    <n v="0"/>
    <s v="Coastal"/>
    <n v="6.25E-2"/>
  </r>
  <r>
    <s v="Anlo SHS"/>
    <s v="Anlo Senior High School"/>
    <x v="3"/>
    <x v="1"/>
    <x v="3"/>
    <n v="26"/>
    <n v="3"/>
    <x v="2"/>
    <s v="2021_0.125_Augusco"/>
    <s v="Preliminary"/>
    <n v="0"/>
    <s v="Coastal"/>
    <n v="4.1666666666666664E-2"/>
  </r>
  <r>
    <s v="St. Louis"/>
    <s v="St. Louis Senior High School"/>
    <x v="1"/>
    <x v="2"/>
    <x v="3"/>
    <n v="46"/>
    <n v="1"/>
    <x v="2"/>
    <s v="2021_0.125_St. Louis"/>
    <s v="Preliminary"/>
    <n v="1"/>
    <s v="Middle Belt"/>
    <n v="0.125"/>
  </r>
  <r>
    <s v="St Hubert"/>
    <s v="St. Hubert Seminary Senior High School"/>
    <x v="1"/>
    <x v="0"/>
    <x v="3"/>
    <n v="45"/>
    <n v="2"/>
    <x v="2"/>
    <s v="2021_0.125_St. Louis"/>
    <s v="Preliminary"/>
    <n v="0"/>
    <s v="Middle Belt"/>
    <n v="6.25E-2"/>
  </r>
  <r>
    <s v="GSTS"/>
    <s v="Ghana Secondary Technical School"/>
    <x v="5"/>
    <x v="0"/>
    <x v="3"/>
    <n v="20"/>
    <n v="3"/>
    <x v="2"/>
    <s v="2021_0.125_St. Louis"/>
    <s v="Preliminary"/>
    <n v="0"/>
    <s v="Coastal"/>
    <n v="4.1666666666666664E-2"/>
  </r>
  <r>
    <s v="Keta"/>
    <s v="Keta Senior High Technical School"/>
    <x v="3"/>
    <x v="1"/>
    <x v="3"/>
    <n v="53"/>
    <n v="1"/>
    <x v="2"/>
    <s v="2021_0.125_Keta"/>
    <s v="Preliminary"/>
    <n v="1"/>
    <s v="Coastal"/>
    <n v="0.125"/>
  </r>
  <r>
    <s v="Adventist Bantama"/>
    <s v="Adventist Senior High School"/>
    <x v="1"/>
    <x v="1"/>
    <x v="3"/>
    <n v="27"/>
    <n v="2"/>
    <x v="2"/>
    <s v="2021_0.125_Keta"/>
    <s v="Preliminary"/>
    <n v="0"/>
    <s v="Middle Belt"/>
    <n v="6.25E-2"/>
  </r>
  <r>
    <s v="TI Amass Fomena"/>
    <s v="TI Ahmadiyya Senior High School, Fomena"/>
    <x v="1"/>
    <x v="1"/>
    <x v="3"/>
    <n v="23"/>
    <n v="3"/>
    <x v="2"/>
    <s v="2021_0.125_Keta"/>
    <s v="Preliminary"/>
    <n v="0"/>
    <s v="Middle Belt"/>
    <n v="4.1666666666666664E-2"/>
  </r>
  <r>
    <s v="Accra Aca"/>
    <s v="Accra Academy"/>
    <x v="0"/>
    <x v="0"/>
    <x v="3"/>
    <n v="61"/>
    <n v="1"/>
    <x v="2"/>
    <s v="2021_0.125_Accra Aca"/>
    <s v="Preliminary"/>
    <n v="1"/>
    <s v="Coastal"/>
    <n v="0.125"/>
  </r>
  <r>
    <s v="Okuapeman"/>
    <s v="Okuapeman Senior High School"/>
    <x v="4"/>
    <x v="1"/>
    <x v="3"/>
    <n v="41"/>
    <n v="2"/>
    <x v="2"/>
    <s v="2021_0.125_Accra Aca"/>
    <s v="Preliminary"/>
    <n v="0"/>
    <s v="Middle Belt"/>
    <n v="6.25E-2"/>
  </r>
  <r>
    <s v="Fiaseman"/>
    <s v="Fiaseman Senior High School"/>
    <x v="5"/>
    <x v="1"/>
    <x v="3"/>
    <n v="24"/>
    <n v="3"/>
    <x v="2"/>
    <s v="2021_0.125_Accra Aca"/>
    <s v="Preliminary"/>
    <n v="0"/>
    <s v="Coastal"/>
    <n v="4.1666666666666664E-2"/>
  </r>
  <r>
    <s v="KASS"/>
    <s v="Anglican Senior High School, Kumasi"/>
    <x v="1"/>
    <x v="1"/>
    <x v="3"/>
    <n v="51"/>
    <n v="1"/>
    <x v="2"/>
    <s v="2021_0.125_KASS"/>
    <s v="Preliminary"/>
    <n v="1"/>
    <s v="Middle Belt"/>
    <n v="0.125"/>
  </r>
  <r>
    <s v="Odorgonno"/>
    <s v="Odorgonno Senior High School"/>
    <x v="0"/>
    <x v="1"/>
    <x v="3"/>
    <n v="34"/>
    <n v="2"/>
    <x v="2"/>
    <s v="2021_0.125_KASS"/>
    <s v="Preliminary"/>
    <n v="0"/>
    <s v="Coastal"/>
    <n v="6.25E-2"/>
  </r>
  <r>
    <s v="Dzodze Penyi"/>
    <s v="Dzodze Penyi Senior High School"/>
    <x v="3"/>
    <x v="1"/>
    <x v="3"/>
    <n v="23"/>
    <n v="3"/>
    <x v="2"/>
    <s v="2021_0.125_KASS"/>
    <s v="Preliminary"/>
    <n v="0"/>
    <s v="Coastal"/>
    <n v="4.1666666666666664E-2"/>
  </r>
  <r>
    <s v="Ola SHS"/>
    <s v="OLA Girls' Senior High School"/>
    <x v="3"/>
    <x v="2"/>
    <x v="3"/>
    <n v="37"/>
    <n v="1"/>
    <x v="2"/>
    <s v="2021_0.125_Ola SHS"/>
    <s v="Preliminary"/>
    <n v="1"/>
    <s v="Coastal"/>
    <n v="0.125"/>
  </r>
  <r>
    <s v="Ofori Panin"/>
    <s v="Ofori Panin Senior High School"/>
    <x v="4"/>
    <x v="1"/>
    <x v="3"/>
    <n v="27"/>
    <n v="2"/>
    <x v="2"/>
    <s v="2021_0.125_Ola SHS"/>
    <s v="Preliminary"/>
    <n v="0"/>
    <s v="Middle Belt"/>
    <n v="6.25E-2"/>
  </r>
  <r>
    <s v="Simms"/>
    <s v="Simms Senior High School"/>
    <x v="1"/>
    <x v="1"/>
    <x v="3"/>
    <n v="26"/>
    <n v="3"/>
    <x v="2"/>
    <s v="2021_0.125_Ola SHS"/>
    <s v="Preliminary"/>
    <n v="0"/>
    <s v="Middle Belt"/>
    <n v="4.1666666666666664E-2"/>
  </r>
  <r>
    <s v="KOSS"/>
    <s v="Konongo Odumase Senior High School"/>
    <x v="1"/>
    <x v="1"/>
    <x v="3"/>
    <n v="40"/>
    <n v="1"/>
    <x v="2"/>
    <s v="2021_0.125_KOSS"/>
    <s v="Preliminary"/>
    <n v="1"/>
    <s v="Middle Belt"/>
    <n v="0.125"/>
  </r>
  <r>
    <s v="Zion College"/>
    <s v="Zion College, Anloga"/>
    <x v="3"/>
    <x v="1"/>
    <x v="3"/>
    <n v="25"/>
    <n v="2"/>
    <x v="2"/>
    <s v="2021_0.125_KOSS"/>
    <s v="Preliminary"/>
    <n v="0"/>
    <s v="Coastal"/>
    <n v="6.25E-2"/>
  </r>
  <r>
    <s v="Presec Osino"/>
    <s v="Osino Presby Senior High Technical School"/>
    <x v="4"/>
    <x v="1"/>
    <x v="3"/>
    <n v="17"/>
    <n v="3"/>
    <x v="2"/>
    <s v="2021_0.125_KOSS"/>
    <s v="Preliminary"/>
    <n v="0"/>
    <s v="Middle Belt"/>
    <n v="4.1666666666666664E-2"/>
  </r>
  <r>
    <s v="Swedru SHS"/>
    <s v="Swedru Senior High School"/>
    <x v="2"/>
    <x v="1"/>
    <x v="3"/>
    <n v="42"/>
    <n v="1"/>
    <x v="2"/>
    <s v="2021_0.125_Swedru SHS"/>
    <s v="Preliminary"/>
    <n v="1"/>
    <s v="Coastal"/>
    <n v="0.125"/>
  </r>
  <r>
    <s v="Armed Forces"/>
    <s v="Armed Forces Senior High Technical School"/>
    <x v="1"/>
    <x v="1"/>
    <x v="3"/>
    <n v="33"/>
    <n v="2"/>
    <x v="2"/>
    <s v="2021_0.125_Swedru SHS"/>
    <s v="Preliminary"/>
    <n v="0"/>
    <s v="Middle Belt"/>
    <n v="6.25E-2"/>
  </r>
  <r>
    <s v="Tamale Islamic"/>
    <s v="Tamale Islamic Senior High School"/>
    <x v="7"/>
    <x v="1"/>
    <x v="3"/>
    <n v="31"/>
    <n v="3"/>
    <x v="2"/>
    <s v="2021_0.125_Swedru SHS"/>
    <s v="Preliminary"/>
    <n v="0"/>
    <s v="Northern"/>
    <n v="4.1666666666666664E-2"/>
  </r>
  <r>
    <s v="Presec Legon"/>
    <s v="Presbyterian Boys' Senior High School"/>
    <x v="0"/>
    <x v="0"/>
    <x v="3"/>
    <n v="71"/>
    <n v="1"/>
    <x v="2"/>
    <s v="2021_0.125_Presec Legon"/>
    <s v="Preliminary"/>
    <n v="1"/>
    <s v="Coastal"/>
    <n v="0.125"/>
  </r>
  <r>
    <s v="St Mary's Boys'"/>
    <s v="St Mary's Boys' Senior High School"/>
    <x v="5"/>
    <x v="0"/>
    <x v="3"/>
    <n v="27"/>
    <n v="2"/>
    <x v="2"/>
    <s v="2021_0.125_Presec Legon"/>
    <s v="Preliminary"/>
    <n v="0"/>
    <s v="Coastal"/>
    <n v="6.25E-2"/>
  </r>
  <r>
    <s v="Ghana SHS Tamale"/>
    <s v="Ghana Senior High School, Tamale"/>
    <x v="7"/>
    <x v="1"/>
    <x v="3"/>
    <n v="26"/>
    <n v="3"/>
    <x v="2"/>
    <s v="2021_0.125_Presec Legon"/>
    <s v="Preliminary"/>
    <n v="0"/>
    <s v="Northern"/>
    <n v="4.1666666666666664E-2"/>
  </r>
  <r>
    <s v="PJ"/>
    <s v="Pope John Senior High School and Minor Seminary"/>
    <x v="4"/>
    <x v="0"/>
    <x v="3"/>
    <n v="38"/>
    <n v="1"/>
    <x v="2"/>
    <s v="2021_0.125_PJ"/>
    <s v="Preliminary"/>
    <n v="1"/>
    <s v="Middle Belt"/>
    <n v="0.125"/>
  </r>
  <r>
    <s v="Mawuli"/>
    <s v="Mawuli School"/>
    <x v="3"/>
    <x v="1"/>
    <x v="3"/>
    <n v="38"/>
    <n v="2"/>
    <x v="2"/>
    <s v="2021_0.125_PJ"/>
    <s v="Preliminary"/>
    <n v="0"/>
    <s v="Coastal"/>
    <n v="6.25E-2"/>
  </r>
  <r>
    <s v="Our Lady of Mt. Carmel Girls"/>
    <s v="Our Lady of Mt. Carmel Girls Senior High School"/>
    <x v="9"/>
    <x v="2"/>
    <x v="3"/>
    <n v="34"/>
    <n v="3"/>
    <x v="2"/>
    <s v="2021_0.125_PJ"/>
    <s v="Preliminary"/>
    <n v="0"/>
    <s v="Middle Belt"/>
    <n v="4.1666666666666664E-2"/>
  </r>
  <r>
    <s v="Kumaca"/>
    <s v="Kumasi Academy"/>
    <x v="1"/>
    <x v="1"/>
    <x v="3"/>
    <n v="49"/>
    <n v="1"/>
    <x v="2"/>
    <s v="2021_0.125_Kumaca"/>
    <s v="Preliminary"/>
    <n v="1"/>
    <s v="Middle Belt"/>
    <n v="0.125"/>
  </r>
  <r>
    <s v="Porters"/>
    <s v="Archbishop Porter Girls' Senior High School"/>
    <x v="5"/>
    <x v="2"/>
    <x v="3"/>
    <n v="31"/>
    <n v="2"/>
    <x v="2"/>
    <s v="2021_0.125_Kumaca"/>
    <s v="Preliminary"/>
    <n v="0"/>
    <s v="Coastal"/>
    <n v="6.25E-2"/>
  </r>
  <r>
    <s v="Presec Suhum"/>
    <s v="Presbyterian Senior High School, Suhum"/>
    <x v="4"/>
    <x v="1"/>
    <x v="3"/>
    <n v="1"/>
    <n v="3"/>
    <x v="2"/>
    <s v="2021_0.125_Kumaca"/>
    <s v="Preliminary"/>
    <n v="0"/>
    <s v="Middle Belt"/>
    <n v="4.1666666666666664E-2"/>
  </r>
  <r>
    <s v="Ghana SHS Koforidua"/>
    <s v="Ghana Senior High School, Koforidua"/>
    <x v="4"/>
    <x v="1"/>
    <x v="3"/>
    <n v="60"/>
    <n v="1"/>
    <x v="2"/>
    <s v="2021_0.125_Ghana SHS Koforidua"/>
    <s v="Preliminary"/>
    <n v="1"/>
    <s v="Middle Belt"/>
    <n v="0.125"/>
  </r>
  <r>
    <s v="Aggrey Memorial Zion SHS"/>
    <s v="Aggrey Memorial AME Zion Senior High"/>
    <x v="2"/>
    <x v="1"/>
    <x v="3"/>
    <n v="36"/>
    <n v="2"/>
    <x v="2"/>
    <s v="2021_0.125_Ghana SHS Koforidua"/>
    <s v="Preliminary"/>
    <n v="0"/>
    <s v="Coastal"/>
    <n v="6.25E-2"/>
  </r>
  <r>
    <s v="Boa Amponsem"/>
    <s v="Boa Amponsem Senior High School"/>
    <x v="2"/>
    <x v="1"/>
    <x v="3"/>
    <n v="34"/>
    <n v="3"/>
    <x v="2"/>
    <s v="2021_0.125_Ghana SHS Koforidua"/>
    <s v="Preliminary"/>
    <n v="0"/>
    <s v="Coastal"/>
    <n v="4.1666666666666664E-2"/>
  </r>
  <r>
    <s v="Oda SHS"/>
    <s v="Oda SHS Senior High School"/>
    <x v="4"/>
    <x v="1"/>
    <x v="3"/>
    <n v="37"/>
    <n v="1"/>
    <x v="2"/>
    <s v="2021_0.125_Oda SHS"/>
    <s v="Preliminary"/>
    <n v="1"/>
    <s v="Middle Belt"/>
    <n v="0.125"/>
  </r>
  <r>
    <s v="Takoradi SHS"/>
    <s v="Takoradi Senior High School"/>
    <x v="5"/>
    <x v="1"/>
    <x v="3"/>
    <n v="36"/>
    <n v="2"/>
    <x v="2"/>
    <s v="2021_0.125_Oda SHS"/>
    <s v="Preliminary"/>
    <n v="0"/>
    <s v="Coastal"/>
    <n v="6.25E-2"/>
  </r>
  <r>
    <s v="Navrongo SHS"/>
    <s v="Navrongo SHS Senior High School"/>
    <x v="10"/>
    <x v="1"/>
    <x v="3"/>
    <n v="23"/>
    <n v="3"/>
    <x v="2"/>
    <s v="2021_0.125_Oda SHS"/>
    <s v="Preliminary"/>
    <n v="0"/>
    <s v="Northern"/>
    <n v="4.1666666666666664E-2"/>
  </r>
  <r>
    <s v="Owass"/>
    <s v="Opoku Ware Senior High School"/>
    <x v="1"/>
    <x v="0"/>
    <x v="3"/>
    <n v="48"/>
    <n v="1"/>
    <x v="2"/>
    <s v="2021_0.125_Owass"/>
    <s v="Preliminary"/>
    <n v="1"/>
    <s v="Middle Belt"/>
    <n v="1"/>
  </r>
  <r>
    <s v="Mpraeso"/>
    <s v="Mpraeso Senior High School"/>
    <x v="4"/>
    <x v="1"/>
    <x v="3"/>
    <n v="43"/>
    <n v="2"/>
    <x v="2"/>
    <s v="2021_0.125_Owass"/>
    <s v="Preliminary"/>
    <n v="0"/>
    <s v="Middle Belt"/>
    <n v="0.5"/>
  </r>
  <r>
    <s v="YASS"/>
    <s v="Yaa Asantewaa Girls' Senior High School"/>
    <x v="1"/>
    <x v="2"/>
    <x v="3"/>
    <n v="22"/>
    <n v="3"/>
    <x v="2"/>
    <s v="2021_0.125_Owass"/>
    <s v="Preliminary"/>
    <n v="0"/>
    <s v="Middle Belt"/>
    <n v="0.33333333333333331"/>
  </r>
  <r>
    <s v="Presec Legon"/>
    <s v="Presbyterian Boys' Senior High School"/>
    <x v="0"/>
    <x v="0"/>
    <x v="0"/>
    <n v="36"/>
    <n v="1"/>
    <x v="3"/>
    <s v="2020_1.0_Presec Legon"/>
    <s v="Final"/>
    <n v="1"/>
    <s v="Coastal"/>
    <n v="0.5"/>
  </r>
  <r>
    <s v="Adisco"/>
    <s v="Adisadel College"/>
    <x v="2"/>
    <x v="0"/>
    <x v="0"/>
    <n v="31"/>
    <n v="2"/>
    <x v="3"/>
    <s v="2020_1.0_Presec Legon"/>
    <s v="Final"/>
    <n v="0"/>
    <s v="Coastal"/>
    <n v="0.25"/>
  </r>
  <r>
    <s v="Owass"/>
    <s v="Opoku Ware Senior High School"/>
    <x v="1"/>
    <x v="0"/>
    <x v="0"/>
    <n v="29"/>
    <n v="3"/>
    <x v="3"/>
    <s v="2020_1.0_Presec Legon"/>
    <s v="Final"/>
    <n v="0"/>
    <s v="Middle Belt"/>
    <n v="0.16666666666666666"/>
  </r>
  <r>
    <s v="Owass"/>
    <s v="Opoku Ware Senior High School"/>
    <x v="1"/>
    <x v="0"/>
    <x v="1"/>
    <n v="55"/>
    <n v="1"/>
    <x v="3"/>
    <s v="2020_0.5_Owass"/>
    <s v="Semifinal"/>
    <n v="1"/>
    <s v="Middle Belt"/>
    <n v="0.5"/>
  </r>
  <r>
    <s v="Accra Aca"/>
    <s v="Accra Academy"/>
    <x v="0"/>
    <x v="0"/>
    <x v="1"/>
    <n v="39"/>
    <n v="2"/>
    <x v="3"/>
    <s v="2020_0.5_Owass"/>
    <s v="Semifinal"/>
    <n v="0"/>
    <s v="Coastal"/>
    <n v="0.25"/>
  </r>
  <r>
    <s v="Boa Amponsem"/>
    <s v="Boa Amponsem Senior High School"/>
    <x v="2"/>
    <x v="1"/>
    <x v="1"/>
    <n v="22"/>
    <n v="3"/>
    <x v="3"/>
    <s v="2020_0.5_Owass"/>
    <s v="Semifinal"/>
    <n v="0"/>
    <s v="Coastal"/>
    <n v="0.16666666666666666"/>
  </r>
  <r>
    <s v="Adisco"/>
    <s v="Adisadel College"/>
    <x v="2"/>
    <x v="0"/>
    <x v="1"/>
    <n v="21"/>
    <n v="1"/>
    <x v="3"/>
    <s v="2020_0.5_Adisco"/>
    <s v="Semifinal"/>
    <n v="1"/>
    <s v="Coastal"/>
    <n v="0.5"/>
  </r>
  <r>
    <s v="Achimota"/>
    <s v="Achimota School"/>
    <x v="0"/>
    <x v="1"/>
    <x v="1"/>
    <n v="20"/>
    <n v="2"/>
    <x v="3"/>
    <s v="2020_0.5_Adisco"/>
    <s v="Semifinal"/>
    <n v="0"/>
    <s v="Coastal"/>
    <n v="0.25"/>
  </r>
  <r>
    <s v="Keta"/>
    <s v="Keta Senior High Technical School"/>
    <x v="3"/>
    <x v="1"/>
    <x v="1"/>
    <n v="17"/>
    <n v="3"/>
    <x v="3"/>
    <s v="2020_0.5_Adisco"/>
    <s v="Semifinal"/>
    <n v="0"/>
    <s v="Coastal"/>
    <n v="0.16666666666666666"/>
  </r>
  <r>
    <s v="Presec Legon"/>
    <s v="Presbyterian Boys' Senior High School"/>
    <x v="0"/>
    <x v="0"/>
    <x v="1"/>
    <n v="66"/>
    <n v="1"/>
    <x v="3"/>
    <s v="2020_0.5_Presec Legon"/>
    <s v="Semifinal"/>
    <n v="1"/>
    <s v="Coastal"/>
    <n v="0.25"/>
  </r>
  <r>
    <s v="Kumaca"/>
    <s v="Kumasi Academy"/>
    <x v="1"/>
    <x v="1"/>
    <x v="1"/>
    <n v="38"/>
    <n v="2"/>
    <x v="3"/>
    <s v="2020_0.5_Presec Legon"/>
    <s v="Semifinal"/>
    <n v="0"/>
    <s v="Middle Belt"/>
    <n v="0.125"/>
  </r>
  <r>
    <s v="Presby SHTS Aburi"/>
    <s v="Aburi Presbyterian Senior High Technical School"/>
    <x v="4"/>
    <x v="1"/>
    <x v="1"/>
    <n v="18"/>
    <n v="3"/>
    <x v="3"/>
    <s v="2020_0.5_Presec Legon"/>
    <s v="Semifinal"/>
    <n v="0"/>
    <s v="Middle Belt"/>
    <n v="8.3333333333333329E-2"/>
  </r>
  <r>
    <s v="Kumaca"/>
    <s v="Kumasi Academy"/>
    <x v="1"/>
    <x v="1"/>
    <x v="2"/>
    <n v="47"/>
    <n v="1"/>
    <x v="3"/>
    <s v="2020_0.25_Kumaca"/>
    <s v="Quarterfinal"/>
    <n v="1"/>
    <s v="Middle Belt"/>
    <n v="0.25"/>
  </r>
  <r>
    <s v="Armed Forces"/>
    <s v="Armed Forces Senior High Technical School"/>
    <x v="1"/>
    <x v="1"/>
    <x v="2"/>
    <n v="33"/>
    <n v="2"/>
    <x v="3"/>
    <s v="2020_0.25_Kumaca"/>
    <s v="Quarterfinal"/>
    <n v="0"/>
    <s v="Middle Belt"/>
    <n v="0.125"/>
  </r>
  <r>
    <s v="Apam"/>
    <s v="Apam Senior High School"/>
    <x v="2"/>
    <x v="1"/>
    <x v="2"/>
    <n v="25"/>
    <n v="3"/>
    <x v="3"/>
    <s v="2020_0.25_Kumaca"/>
    <s v="Quarterfinal"/>
    <n v="0"/>
    <s v="Coastal"/>
    <n v="8.3333333333333329E-2"/>
  </r>
  <r>
    <s v="Presby SHTS Aburi"/>
    <s v="Aburi Presbyterian Senior High Technical School"/>
    <x v="4"/>
    <x v="1"/>
    <x v="2"/>
    <n v="37"/>
    <n v="1"/>
    <x v="3"/>
    <s v="2020_0.25_Presby SHTS Aburi"/>
    <s v="Quarterfinal"/>
    <n v="1"/>
    <s v="Middle Belt"/>
    <n v="0.25"/>
  </r>
  <r>
    <s v="Presec Osino"/>
    <s v="Osino Presby Senior High Technical School"/>
    <x v="4"/>
    <x v="1"/>
    <x v="2"/>
    <n v="35"/>
    <n v="2"/>
    <x v="3"/>
    <s v="2020_0.25_Presby SHTS Aburi"/>
    <s v="Quarterfinal"/>
    <n v="0"/>
    <s v="Middle Belt"/>
    <n v="0.125"/>
  </r>
  <r>
    <s v="Northern School of Business"/>
    <s v="Northern School of Business"/>
    <x v="7"/>
    <x v="1"/>
    <x v="2"/>
    <n v="14"/>
    <n v="3"/>
    <x v="3"/>
    <s v="2020_0.25_Presby SHTS Aburi"/>
    <s v="Quarterfinal"/>
    <n v="0"/>
    <s v="Northern"/>
    <n v="8.3333333333333329E-2"/>
  </r>
  <r>
    <s v="Presec Legon"/>
    <s v="Presbyterian Boys' Senior High School"/>
    <x v="0"/>
    <x v="0"/>
    <x v="2"/>
    <n v="51"/>
    <n v="1"/>
    <x v="3"/>
    <s v="2020_0.25_Presec Legon"/>
    <s v="Quarterfinal"/>
    <n v="1"/>
    <s v="Coastal"/>
    <n v="0.25"/>
  </r>
  <r>
    <s v="Koforidua Sec Tech"/>
    <s v="Koforidua Sec Tech Senior High School"/>
    <x v="4"/>
    <x v="0"/>
    <x v="2"/>
    <n v="42"/>
    <n v="2"/>
    <x v="3"/>
    <s v="2020_0.25_Presec Legon"/>
    <s v="Quarterfinal"/>
    <n v="0"/>
    <s v="Middle Belt"/>
    <n v="0.125"/>
  </r>
  <r>
    <s v="Ghana National"/>
    <s v="Ghana National College"/>
    <x v="2"/>
    <x v="1"/>
    <x v="2"/>
    <n v="42"/>
    <n v="3"/>
    <x v="3"/>
    <s v="2020_0.25_Presec Legon"/>
    <s v="Quarterfinal"/>
    <n v="0"/>
    <s v="Coastal"/>
    <n v="8.3333333333333329E-2"/>
  </r>
  <r>
    <s v="Owass"/>
    <s v="Opoku Ware Senior High School"/>
    <x v="1"/>
    <x v="0"/>
    <x v="2"/>
    <n v="49"/>
    <n v="1"/>
    <x v="3"/>
    <s v="2020_0.25_Owass"/>
    <s v="Quarterfinal"/>
    <n v="1"/>
    <s v="Middle Belt"/>
    <n v="0.25"/>
  </r>
  <r>
    <s v="Holico"/>
    <s v="Holico Senior High School"/>
    <x v="2"/>
    <x v="2"/>
    <x v="2"/>
    <n v="40"/>
    <n v="2"/>
    <x v="3"/>
    <s v="2020_0.25_Owass"/>
    <s v="Quarterfinal"/>
    <n v="0"/>
    <s v="Coastal"/>
    <n v="0.125"/>
  </r>
  <r>
    <s v="Wegehey"/>
    <s v="Wesley Girls' Senior High School"/>
    <x v="2"/>
    <x v="2"/>
    <x v="2"/>
    <n v="37"/>
    <n v="3"/>
    <x v="3"/>
    <s v="2020_0.25_Owass"/>
    <s v="Quarterfinal"/>
    <n v="0"/>
    <s v="Coastal"/>
    <n v="8.3333333333333329E-2"/>
  </r>
  <r>
    <s v="Boa Amponsem"/>
    <s v="Boa Amponsem Senior High School"/>
    <x v="2"/>
    <x v="1"/>
    <x v="2"/>
    <n v="29"/>
    <n v="1"/>
    <x v="3"/>
    <s v="2020_0.25_Boa Amponsem"/>
    <s v="Quarterfinal"/>
    <n v="1"/>
    <s v="Coastal"/>
    <n v="0.25"/>
  </r>
  <r>
    <s v="St Margaret Mary"/>
    <s v="St Margaret Mary Senior High School"/>
    <x v="0"/>
    <x v="1"/>
    <x v="2"/>
    <n v="24"/>
    <n v="2"/>
    <x v="3"/>
    <s v="2020_0.25_Boa Amponsem"/>
    <s v="Quarterfinal"/>
    <n v="0"/>
    <s v="Coastal"/>
    <n v="0.125"/>
  </r>
  <r>
    <s v="GSTS"/>
    <s v="Ghana Secondary Technical School"/>
    <x v="5"/>
    <x v="0"/>
    <x v="2"/>
    <n v="14"/>
    <n v="3"/>
    <x v="3"/>
    <s v="2020_0.25_Boa Amponsem"/>
    <s v="Quarterfinal"/>
    <n v="0"/>
    <s v="Coastal"/>
    <n v="8.3333333333333329E-2"/>
  </r>
  <r>
    <s v="Accra Aca"/>
    <s v="Accra Academy"/>
    <x v="0"/>
    <x v="0"/>
    <x v="2"/>
    <n v="53"/>
    <n v="1"/>
    <x v="3"/>
    <s v="2020_0.25_Accra Aca"/>
    <s v="Quarterfinal"/>
    <n v="1"/>
    <s v="Coastal"/>
    <n v="0.25"/>
  </r>
  <r>
    <s v="Augusco"/>
    <s v="St. Augustine's College"/>
    <x v="2"/>
    <x v="0"/>
    <x v="2"/>
    <n v="50"/>
    <n v="2"/>
    <x v="3"/>
    <s v="2020_0.25_Accra Aca"/>
    <s v="Quarterfinal"/>
    <n v="0"/>
    <s v="Coastal"/>
    <n v="0.125"/>
  </r>
  <r>
    <s v="Kumasi sectec"/>
    <s v="Kumasi Senior High Technical School"/>
    <x v="1"/>
    <x v="1"/>
    <x v="2"/>
    <n v="38"/>
    <n v="3"/>
    <x v="3"/>
    <s v="2020_0.25_Accra Aca"/>
    <s v="Quarterfinal"/>
    <n v="0"/>
    <s v="Middle Belt"/>
    <n v="8.3333333333333329E-2"/>
  </r>
  <r>
    <s v="Adisco"/>
    <s v="Adisadel College"/>
    <x v="2"/>
    <x v="0"/>
    <x v="2"/>
    <n v="49"/>
    <n v="1"/>
    <x v="3"/>
    <s v="2020_0.25_Adisco"/>
    <s v="Quarterfinal"/>
    <n v="1"/>
    <s v="Coastal"/>
    <n v="0.25"/>
  </r>
  <r>
    <s v="Persco"/>
    <s v="St. Peter's Senior High School"/>
    <x v="4"/>
    <x v="0"/>
    <x v="2"/>
    <n v="47"/>
    <n v="2"/>
    <x v="3"/>
    <s v="2020_0.25_Adisco"/>
    <s v="Quarterfinal"/>
    <n v="0"/>
    <s v="Middle Belt"/>
    <n v="0.125"/>
  </r>
  <r>
    <s v="Ola SHS"/>
    <s v="OLA Girls' Senior High School"/>
    <x v="3"/>
    <x v="2"/>
    <x v="2"/>
    <n v="39"/>
    <n v="3"/>
    <x v="3"/>
    <s v="2020_0.25_Adisco"/>
    <s v="Quarterfinal"/>
    <n v="0"/>
    <s v="Coastal"/>
    <n v="8.3333333333333329E-2"/>
  </r>
  <r>
    <s v="Achimota"/>
    <s v="Achimota School"/>
    <x v="0"/>
    <x v="1"/>
    <x v="2"/>
    <n v="44"/>
    <n v="1"/>
    <x v="3"/>
    <s v="2020_0.25_Achimota"/>
    <s v="Quarterfinal"/>
    <n v="1"/>
    <s v="Coastal"/>
    <n v="0.25"/>
  </r>
  <r>
    <s v="Prempeh"/>
    <s v="Prempeh College"/>
    <x v="1"/>
    <x v="0"/>
    <x v="2"/>
    <n v="41"/>
    <n v="2"/>
    <x v="3"/>
    <s v="2020_0.25_Achimota"/>
    <s v="Quarterfinal"/>
    <n v="0"/>
    <s v="Middle Belt"/>
    <n v="0.125"/>
  </r>
  <r>
    <s v="KASS"/>
    <s v="Anglican Senior High School, Kumasi"/>
    <x v="1"/>
    <x v="1"/>
    <x v="2"/>
    <n v="27"/>
    <n v="3"/>
    <x v="3"/>
    <s v="2020_0.25_Achimota"/>
    <s v="Quarterfinal"/>
    <n v="0"/>
    <s v="Middle Belt"/>
    <n v="8.3333333333333329E-2"/>
  </r>
  <r>
    <s v="Keta"/>
    <s v="Keta Senior High Technical School"/>
    <x v="3"/>
    <x v="1"/>
    <x v="2"/>
    <n v="36"/>
    <n v="1"/>
    <x v="3"/>
    <s v="2020_0.25_Keta"/>
    <s v="Quarterfinal"/>
    <n v="1"/>
    <s v="Coastal"/>
    <n v="0.125"/>
  </r>
  <r>
    <s v="Navrongo SHS"/>
    <s v="Navrongo SHS Senior High School"/>
    <x v="10"/>
    <x v="1"/>
    <x v="2"/>
    <n v="29"/>
    <n v="2"/>
    <x v="3"/>
    <s v="2020_0.25_Keta"/>
    <s v="Quarterfinal"/>
    <n v="0"/>
    <s v="Northern"/>
    <n v="6.25E-2"/>
  </r>
  <r>
    <s v="PJ"/>
    <s v="Pope John Senior High School and Minor Seminary"/>
    <x v="4"/>
    <x v="0"/>
    <x v="2"/>
    <n v="13"/>
    <n v="3"/>
    <x v="3"/>
    <s v="2020_0.25_Keta"/>
    <s v="Quarterfinal"/>
    <n v="0"/>
    <s v="Middle Belt"/>
    <n v="4.1666666666666664E-2"/>
  </r>
  <r>
    <s v="Owass"/>
    <s v="Opoku Ware Senior High School"/>
    <x v="1"/>
    <x v="0"/>
    <x v="3"/>
    <n v="46"/>
    <n v="1"/>
    <x v="3"/>
    <s v="2020_0.125_Owass"/>
    <s v="Preliminary"/>
    <n v="1"/>
    <s v="Middle Belt"/>
    <n v="0.125"/>
  </r>
  <r>
    <s v="Agogo State College"/>
    <s v="Agogo State College"/>
    <x v="1"/>
    <x v="1"/>
    <x v="3"/>
    <n v="38"/>
    <n v="2"/>
    <x v="3"/>
    <s v="2020_0.125_Owass"/>
    <s v="Preliminary"/>
    <n v="0"/>
    <s v="Middle Belt"/>
    <n v="6.25E-2"/>
  </r>
  <r>
    <s v="Zabzugu shs"/>
    <s v="Zabzugu Senior High School"/>
    <x v="7"/>
    <x v="1"/>
    <x v="3"/>
    <n v="17"/>
    <n v="3"/>
    <x v="3"/>
    <s v="2020_0.125_Owass"/>
    <s v="Preliminary"/>
    <n v="0"/>
    <s v="Northern"/>
    <n v="4.1666666666666664E-2"/>
  </r>
  <r>
    <s v="Prempeh"/>
    <s v="Prempeh College"/>
    <x v="1"/>
    <x v="0"/>
    <x v="3"/>
    <n v="49"/>
    <n v="1"/>
    <x v="3"/>
    <s v="2020_0.125_Prempeh"/>
    <s v="Preliminary"/>
    <n v="1"/>
    <s v="Middle Belt"/>
    <n v="0.125"/>
  </r>
  <r>
    <s v="Aquinas"/>
    <s v="St. Thomas Aquinas Senior High School"/>
    <x v="0"/>
    <x v="0"/>
    <x v="3"/>
    <n v="31"/>
    <n v="2"/>
    <x v="3"/>
    <s v="2020_0.125_Prempeh"/>
    <s v="Preliminary"/>
    <n v="0"/>
    <s v="Coastal"/>
    <n v="6.25E-2"/>
  </r>
  <r>
    <s v="Asanteman SHS"/>
    <s v="Asanteman Senior High School"/>
    <x v="1"/>
    <x v="1"/>
    <x v="3"/>
    <n v="23"/>
    <n v="3"/>
    <x v="3"/>
    <s v="2020_0.125_Prempeh"/>
    <s v="Preliminary"/>
    <n v="0"/>
    <s v="Middle Belt"/>
    <n v="4.1666666666666664E-2"/>
  </r>
  <r>
    <s v="Augusco"/>
    <s v="St. Augustine's College"/>
    <x v="2"/>
    <x v="0"/>
    <x v="3"/>
    <n v="53"/>
    <n v="1"/>
    <x v="3"/>
    <s v="2020_0.125_Augusco"/>
    <s v="Preliminary"/>
    <n v="1"/>
    <s v="Coastal"/>
    <n v="0.125"/>
  </r>
  <r>
    <s v="Bompeh SHTS"/>
    <s v="Bompeh Senior High Technical School"/>
    <x v="5"/>
    <x v="1"/>
    <x v="3"/>
    <n v="36"/>
    <n v="2"/>
    <x v="3"/>
    <s v="2020_0.125_Augusco"/>
    <s v="Preliminary"/>
    <n v="0"/>
    <s v="Coastal"/>
    <n v="6.25E-2"/>
  </r>
  <r>
    <s v="Techiman SHS"/>
    <s v="Techiman Senior High School"/>
    <x v="9"/>
    <x v="1"/>
    <x v="3"/>
    <n v="22"/>
    <n v="3"/>
    <x v="3"/>
    <s v="2020_0.125_Augusco"/>
    <s v="Preliminary"/>
    <n v="0"/>
    <s v="Middle Belt"/>
    <n v="4.1666666666666664E-2"/>
  </r>
  <r>
    <s v="KASS"/>
    <s v="Anglican Senior High School, Kumasi"/>
    <x v="1"/>
    <x v="1"/>
    <x v="3"/>
    <n v="43"/>
    <n v="1"/>
    <x v="3"/>
    <s v="2020_0.125_KASS"/>
    <s v="Preliminary"/>
    <n v="1"/>
    <s v="Middle Belt"/>
    <n v="0.125"/>
  </r>
  <r>
    <s v="Obuasi SHTS"/>
    <s v="Obuasi Senior High Technical School"/>
    <x v="1"/>
    <x v="1"/>
    <x v="3"/>
    <n v="21"/>
    <n v="2"/>
    <x v="3"/>
    <s v="2020_0.125_KASS"/>
    <s v="Preliminary"/>
    <n v="0"/>
    <s v="Middle Belt"/>
    <n v="6.25E-2"/>
  </r>
  <r>
    <s v="Adu Gyamfi"/>
    <s v="Adu Gyamfi Senior High School"/>
    <x v="1"/>
    <x v="1"/>
    <x v="3"/>
    <n v="21"/>
    <n v="3"/>
    <x v="3"/>
    <s v="2020_0.125_KASS"/>
    <s v="Preliminary"/>
    <n v="0"/>
    <s v="Middle Belt"/>
    <n v="4.1666666666666664E-2"/>
  </r>
  <r>
    <s v="Presec Osino"/>
    <s v="Osino Presby Senior High Technical School"/>
    <x v="4"/>
    <x v="1"/>
    <x v="3"/>
    <n v="30"/>
    <n v="1"/>
    <x v="3"/>
    <s v="2020_0.125_Presec Osino"/>
    <s v="Preliminary"/>
    <n v="1"/>
    <s v="Middle Belt"/>
    <n v="0.125"/>
  </r>
  <r>
    <s v="KNUST SHS"/>
    <s v="KNUST Senior High School"/>
    <x v="1"/>
    <x v="1"/>
    <x v="3"/>
    <n v="23"/>
    <n v="2"/>
    <x v="3"/>
    <s v="2020_0.125_Presec Osino"/>
    <s v="Preliminary"/>
    <n v="0"/>
    <s v="Middle Belt"/>
    <n v="6.25E-2"/>
  </r>
  <r>
    <s v="St Johns Grammar"/>
    <s v="St Johns Grammar Senior High School"/>
    <x v="0"/>
    <x v="1"/>
    <x v="3"/>
    <n v="14"/>
    <n v="3"/>
    <x v="3"/>
    <s v="2020_0.125_Presec Osino"/>
    <s v="Preliminary"/>
    <n v="0"/>
    <s v="Coastal"/>
    <n v="4.1666666666666664E-2"/>
  </r>
  <r>
    <s v="Achimota"/>
    <s v="Achimota School"/>
    <x v="0"/>
    <x v="1"/>
    <x v="3"/>
    <n v="42"/>
    <n v="1"/>
    <x v="3"/>
    <s v="2020_0.125_Achimota"/>
    <s v="Preliminary"/>
    <n v="1"/>
    <s v="Coastal"/>
    <n v="0.125"/>
  </r>
  <r>
    <s v="Adventist Bantama"/>
    <s v="Adventist Senior High School"/>
    <x v="1"/>
    <x v="1"/>
    <x v="3"/>
    <n v="33"/>
    <n v="2"/>
    <x v="3"/>
    <s v="2020_0.125_Achimota"/>
    <s v="Preliminary"/>
    <n v="0"/>
    <s v="Middle Belt"/>
    <n v="6.25E-2"/>
  </r>
  <r>
    <s v="St Hubert"/>
    <s v="St. Hubert Seminary Senior High School"/>
    <x v="1"/>
    <x v="0"/>
    <x v="3"/>
    <n v="24"/>
    <n v="3"/>
    <x v="3"/>
    <s v="2020_0.125_Achimota"/>
    <s v="Preliminary"/>
    <n v="0"/>
    <s v="Middle Belt"/>
    <n v="4.1666666666666664E-2"/>
  </r>
  <r>
    <s v="Adisco"/>
    <s v="Adisadel College"/>
    <x v="2"/>
    <x v="0"/>
    <x v="3"/>
    <n v="50"/>
    <n v="1"/>
    <x v="3"/>
    <s v="2020_0.125_Adisco"/>
    <s v="Preliminary"/>
    <n v="1"/>
    <s v="Coastal"/>
    <n v="0.125"/>
  </r>
  <r>
    <s v="Biheco"/>
    <s v="Bishop Herman College"/>
    <x v="3"/>
    <x v="0"/>
    <x v="3"/>
    <n v="34"/>
    <n v="2"/>
    <x v="3"/>
    <s v="2020_0.125_Adisco"/>
    <s v="Preliminary"/>
    <n v="0"/>
    <s v="Coastal"/>
    <n v="6.25E-2"/>
  </r>
  <r>
    <s v="Tarkwa SHS"/>
    <s v="Tarkwa Senior High School"/>
    <x v="5"/>
    <x v="1"/>
    <x v="3"/>
    <n v="25"/>
    <n v="3"/>
    <x v="3"/>
    <s v="2020_0.125_Adisco"/>
    <s v="Preliminary"/>
    <n v="0"/>
    <s v="Coastal"/>
    <n v="4.1666666666666664E-2"/>
  </r>
  <r>
    <s v="Northern School of Business"/>
    <s v="Northern School of Business"/>
    <x v="7"/>
    <x v="1"/>
    <x v="3"/>
    <n v="24"/>
    <n v="1"/>
    <x v="3"/>
    <s v="2020_0.125_Northern School of Business"/>
    <s v="Preliminary"/>
    <n v="1"/>
    <s v="Northern"/>
    <n v="0.125"/>
  </r>
  <r>
    <s v="Bolgatanga SHS"/>
    <s v="Bolgatanga Senior High School"/>
    <x v="10"/>
    <x v="1"/>
    <x v="3"/>
    <n v="23"/>
    <n v="2"/>
    <x v="3"/>
    <s v="2020_0.125_Northern School of Business"/>
    <s v="Preliminary"/>
    <n v="0"/>
    <s v="Northern"/>
    <n v="6.25E-2"/>
  </r>
  <r>
    <s v="St. Johns School"/>
    <s v="St. Johns School Senior High School"/>
    <x v="5"/>
    <x v="0"/>
    <x v="3"/>
    <n v="22"/>
    <n v="3"/>
    <x v="3"/>
    <s v="2020_0.125_Northern School of Business"/>
    <s v="Preliminary"/>
    <n v="0"/>
    <s v="Coastal"/>
    <n v="4.1666666666666664E-2"/>
  </r>
  <r>
    <s v="Kumaca"/>
    <s v="Kumasi Academy"/>
    <x v="1"/>
    <x v="1"/>
    <x v="3"/>
    <n v="53"/>
    <n v="1"/>
    <x v="3"/>
    <s v="2020_0.125_Kumaca"/>
    <s v="Preliminary"/>
    <n v="1"/>
    <s v="Middle Belt"/>
    <n v="0.125"/>
  </r>
  <r>
    <s v="Mfantsipim"/>
    <s v="Mfantsipim School"/>
    <x v="2"/>
    <x v="0"/>
    <x v="3"/>
    <n v="35"/>
    <n v="2"/>
    <x v="3"/>
    <s v="2020_0.125_Kumaca"/>
    <s v="Preliminary"/>
    <n v="0"/>
    <s v="Coastal"/>
    <n v="6.25E-2"/>
  </r>
  <r>
    <s v="St. Mary's Accra"/>
    <s v="St. Mary's Senior High School"/>
    <x v="0"/>
    <x v="2"/>
    <x v="3"/>
    <n v="30"/>
    <n v="3"/>
    <x v="3"/>
    <s v="2020_0.125_Kumaca"/>
    <s v="Preliminary"/>
    <n v="0"/>
    <s v="Coastal"/>
    <n v="4.1666666666666664E-2"/>
  </r>
  <r>
    <s v="Armed Forces"/>
    <s v="Armed Forces Senior High Technical School"/>
    <x v="1"/>
    <x v="1"/>
    <x v="3"/>
    <n v="34"/>
    <n v="1"/>
    <x v="3"/>
    <s v="2020_0.125_Armed Forces"/>
    <s v="Preliminary"/>
    <n v="1"/>
    <s v="Middle Belt"/>
    <n v="0.125"/>
  </r>
  <r>
    <s v="Tamale SHS"/>
    <s v="Tamale SHS Senior High School"/>
    <x v="7"/>
    <x v="1"/>
    <x v="3"/>
    <n v="30"/>
    <n v="2"/>
    <x v="3"/>
    <s v="2020_0.125_Armed Forces"/>
    <s v="Preliminary"/>
    <n v="0"/>
    <s v="Northern"/>
    <n v="6.25E-2"/>
  </r>
  <r>
    <s v="Osei Tutu"/>
    <s v="Osei Tutu Senior High School"/>
    <x v="1"/>
    <x v="0"/>
    <x v="3"/>
    <n v="16"/>
    <n v="3"/>
    <x v="3"/>
    <s v="2020_0.125_Armed Forces"/>
    <s v="Preliminary"/>
    <n v="0"/>
    <s v="Middle Belt"/>
    <n v="4.1666666666666664E-2"/>
  </r>
  <r>
    <s v="Apam"/>
    <s v="Apam Senior High School"/>
    <x v="2"/>
    <x v="1"/>
    <x v="3"/>
    <n v="39"/>
    <n v="1"/>
    <x v="3"/>
    <s v="2020_0.125_Apam"/>
    <s v="Preliminary"/>
    <n v="1"/>
    <s v="Coastal"/>
    <n v="0.125"/>
  </r>
  <r>
    <s v="Nkwatia Presby SHS"/>
    <s v="Nkwatia Presbyterian Senior High School"/>
    <x v="4"/>
    <x v="1"/>
    <x v="3"/>
    <n v="32"/>
    <n v="2"/>
    <x v="3"/>
    <s v="2020_0.125_Apam"/>
    <s v="Preliminary"/>
    <n v="0"/>
    <s v="Middle Belt"/>
    <n v="6.25E-2"/>
  </r>
  <r>
    <s v="Kpando SHS"/>
    <s v="Kpando Senior High School"/>
    <x v="3"/>
    <x v="1"/>
    <x v="3"/>
    <n v="19"/>
    <n v="3"/>
    <x v="3"/>
    <s v="2020_0.125_Apam"/>
    <s v="Preliminary"/>
    <n v="0"/>
    <s v="Coastal"/>
    <n v="4.1666666666666664E-2"/>
  </r>
  <r>
    <s v="Navrongo SHS"/>
    <s v="Navrongo SHS Senior High School"/>
    <x v="10"/>
    <x v="1"/>
    <x v="3"/>
    <n v="41"/>
    <n v="1"/>
    <x v="3"/>
    <s v="2020_0.125_Navrongo SHS"/>
    <s v="Preliminary"/>
    <n v="1"/>
    <s v="Northern"/>
    <n v="0.125"/>
  </r>
  <r>
    <s v="TI Amass Kumasi"/>
    <s v="TI Ahmadiyya Senior High School, Kumasi"/>
    <x v="1"/>
    <x v="1"/>
    <x v="3"/>
    <n v="30"/>
    <n v="2"/>
    <x v="3"/>
    <s v="2020_0.125_Navrongo SHS"/>
    <s v="Preliminary"/>
    <n v="0"/>
    <s v="Middle Belt"/>
    <n v="6.25E-2"/>
  </r>
  <r>
    <s v="TI Amass Potsin"/>
    <s v="TI Ahmadiyya Senior High School, Potsin"/>
    <x v="2"/>
    <x v="1"/>
    <x v="3"/>
    <n v="28"/>
    <n v="3"/>
    <x v="3"/>
    <s v="2020_0.125_Navrongo SHS"/>
    <s v="Preliminary"/>
    <n v="0"/>
    <s v="Coastal"/>
    <n v="4.1666666666666664E-2"/>
  </r>
  <r>
    <s v="Ola SHS"/>
    <s v="OLA Girls' Senior High School"/>
    <x v="3"/>
    <x v="2"/>
    <x v="3"/>
    <n v="46"/>
    <n v="1"/>
    <x v="3"/>
    <s v="2020_0.125_Ola SHS"/>
    <s v="Preliminary"/>
    <n v="1"/>
    <s v="Coastal"/>
    <n v="0.125"/>
  </r>
  <r>
    <s v="Chemu SHS"/>
    <s v="Chemu Senior High School"/>
    <x v="0"/>
    <x v="1"/>
    <x v="3"/>
    <n v="37"/>
    <n v="2"/>
    <x v="3"/>
    <s v="2020_0.125_Ola SHS"/>
    <s v="Preliminary"/>
    <n v="0"/>
    <s v="Coastal"/>
    <n v="6.25E-2"/>
  </r>
  <r>
    <s v="St Roses"/>
    <s v="St Rose's Senior High School"/>
    <x v="4"/>
    <x v="2"/>
    <x v="3"/>
    <n v="24"/>
    <n v="3"/>
    <x v="3"/>
    <s v="2020_0.125_Ola SHS"/>
    <s v="Preliminary"/>
    <n v="0"/>
    <s v="Middle Belt"/>
    <n v="4.1666666666666664E-2"/>
  </r>
  <r>
    <s v="Persco"/>
    <s v="St. Peter's Senior High School"/>
    <x v="4"/>
    <x v="0"/>
    <x v="3"/>
    <n v="68"/>
    <n v="1"/>
    <x v="3"/>
    <s v="2020_0.125_Persco"/>
    <s v="Preliminary"/>
    <n v="1"/>
    <s v="Middle Belt"/>
    <n v="0.125"/>
  </r>
  <r>
    <s v="Berekum SHS"/>
    <s v="Berekum Senior High School"/>
    <x v="6"/>
    <x v="1"/>
    <x v="3"/>
    <n v="28"/>
    <n v="2"/>
    <x v="3"/>
    <s v="2020_0.125_Persco"/>
    <s v="Preliminary"/>
    <n v="0"/>
    <s v="Middle Belt"/>
    <n v="6.25E-2"/>
  </r>
  <r>
    <s v="Notre Dame Girls"/>
    <s v="Notre Dame Girls Senior High School"/>
    <x v="6"/>
    <x v="2"/>
    <x v="3"/>
    <n v="10"/>
    <n v="3"/>
    <x v="3"/>
    <s v="2020_0.125_Persco"/>
    <s v="Preliminary"/>
    <n v="0"/>
    <s v="Middle Belt"/>
    <n v="4.1666666666666664E-2"/>
  </r>
  <r>
    <s v="Presby SHTS Aburi"/>
    <s v="Aburi Presbyterian Senior High Technical School"/>
    <x v="4"/>
    <x v="1"/>
    <x v="3"/>
    <n v="50"/>
    <n v="1"/>
    <x v="3"/>
    <s v="2020_0.125_Presby SHTS Aburi"/>
    <s v="Preliminary"/>
    <n v="1"/>
    <s v="Middle Belt"/>
    <n v="0.125"/>
  </r>
  <r>
    <s v="St. Ignatius of Loyola"/>
    <s v="St. Ignatius of Loyola Senior High School"/>
    <x v="8"/>
    <x v="1"/>
    <x v="3"/>
    <n v="16"/>
    <n v="2"/>
    <x v="3"/>
    <s v="2020_0.125_Presby SHTS Aburi"/>
    <s v="Preliminary"/>
    <n v="0"/>
    <s v="Northern"/>
    <n v="6.25E-2"/>
  </r>
  <r>
    <s v="Presec Abetifi"/>
    <s v="Abetifi Presbyterian Senior High School"/>
    <x v="4"/>
    <x v="1"/>
    <x v="3"/>
    <n v="15"/>
    <n v="3"/>
    <x v="3"/>
    <s v="2020_0.125_Presby SHTS Aburi"/>
    <s v="Preliminary"/>
    <n v="0"/>
    <s v="Middle Belt"/>
    <n v="4.1666666666666664E-2"/>
  </r>
  <r>
    <s v="Ghana National"/>
    <s v="Ghana National College"/>
    <x v="2"/>
    <x v="1"/>
    <x v="3"/>
    <n v="50"/>
    <n v="1"/>
    <x v="3"/>
    <s v="2020_0.125_Ghana National"/>
    <s v="Preliminary"/>
    <n v="1"/>
    <s v="Coastal"/>
    <n v="0.125"/>
  </r>
  <r>
    <s v="Tepa"/>
    <s v="Tepa Senior High School"/>
    <x v="1"/>
    <x v="1"/>
    <x v="3"/>
    <n v="14"/>
    <n v="2"/>
    <x v="3"/>
    <s v="2020_0.125_Ghana National"/>
    <s v="Preliminary"/>
    <n v="0"/>
    <s v="Middle Belt"/>
    <n v="6.25E-2"/>
  </r>
  <r>
    <s v="Akatsi SHTS"/>
    <s v="Akatsi Senior High Technical School"/>
    <x v="3"/>
    <x v="1"/>
    <x v="3"/>
    <n v="13"/>
    <n v="3"/>
    <x v="3"/>
    <s v="2020_0.125_Ghana National"/>
    <s v="Preliminary"/>
    <n v="0"/>
    <s v="Coastal"/>
    <n v="4.1666666666666664E-2"/>
  </r>
  <r>
    <s v="Koforidua Sec Tech"/>
    <s v="Koforidua Sec Tech Senior High School"/>
    <x v="4"/>
    <x v="0"/>
    <x v="3"/>
    <n v="44"/>
    <n v="1"/>
    <x v="3"/>
    <s v="2020_0.125_Koforidua Sec Tech"/>
    <s v="Preliminary"/>
    <n v="1"/>
    <s v="Middle Belt"/>
    <n v="0.125"/>
  </r>
  <r>
    <s v="Unipra"/>
    <s v="University Practice Senior High School"/>
    <x v="2"/>
    <x v="1"/>
    <x v="3"/>
    <n v="38"/>
    <n v="2"/>
    <x v="3"/>
    <s v="2020_0.125_Koforidua Sec Tech"/>
    <s v="Preliminary"/>
    <n v="0"/>
    <s v="Coastal"/>
    <n v="6.25E-2"/>
  </r>
  <r>
    <s v="St Charles"/>
    <s v="St. Charles Minor Seminary / Senior High School"/>
    <x v="7"/>
    <x v="0"/>
    <x v="3"/>
    <n v="24"/>
    <n v="3"/>
    <x v="3"/>
    <s v="2020_0.125_Koforidua Sec Tech"/>
    <s v="Preliminary"/>
    <n v="0"/>
    <s v="Northern"/>
    <n v="4.1666666666666664E-2"/>
  </r>
  <r>
    <s v="Presec Legon"/>
    <s v="Presbyterian Boys' Senior High School"/>
    <x v="0"/>
    <x v="0"/>
    <x v="3"/>
    <n v="59"/>
    <n v="1"/>
    <x v="3"/>
    <s v="2020_0.125_Presec Legon"/>
    <s v="Preliminary"/>
    <n v="1"/>
    <s v="Coastal"/>
    <n v="0.125"/>
  </r>
  <r>
    <s v="Aggrey Memorial Zion SHS"/>
    <s v="Aggrey Memorial AME Zion Senior High"/>
    <x v="2"/>
    <x v="1"/>
    <x v="3"/>
    <n v="32"/>
    <n v="2"/>
    <x v="3"/>
    <s v="2020_0.125_Presec Legon"/>
    <s v="Preliminary"/>
    <n v="0"/>
    <s v="Coastal"/>
    <n v="6.25E-2"/>
  </r>
  <r>
    <s v="Sunyani SHS"/>
    <s v="Sunyani Senior High School"/>
    <x v="6"/>
    <x v="1"/>
    <x v="3"/>
    <n v="27"/>
    <n v="3"/>
    <x v="3"/>
    <s v="2020_0.125_Presec Legon"/>
    <s v="Preliminary"/>
    <n v="0"/>
    <s v="Middle Belt"/>
    <n v="4.1666666666666664E-2"/>
  </r>
  <r>
    <s v="Accra Aca"/>
    <s v="Accra Academy"/>
    <x v="0"/>
    <x v="0"/>
    <x v="3"/>
    <n v="48"/>
    <n v="1"/>
    <x v="3"/>
    <s v="2020_0.125_Accra Aca"/>
    <s v="Preliminary"/>
    <n v="1"/>
    <s v="Coastal"/>
    <n v="0.125"/>
  </r>
  <r>
    <s v="Assin State"/>
    <s v="Assin State College"/>
    <x v="2"/>
    <x v="1"/>
    <x v="3"/>
    <n v="43"/>
    <n v="2"/>
    <x v="3"/>
    <s v="2020_0.125_Accra Aca"/>
    <s v="Preliminary"/>
    <n v="0"/>
    <s v="Coastal"/>
    <n v="6.25E-2"/>
  </r>
  <r>
    <s v="Afua Kobi"/>
    <s v="Afia Kobi Ampem Senior High School"/>
    <x v="1"/>
    <x v="2"/>
    <x v="3"/>
    <n v="35"/>
    <n v="3"/>
    <x v="3"/>
    <s v="2020_0.125_Accra Aca"/>
    <s v="Preliminary"/>
    <n v="0"/>
    <s v="Middle Belt"/>
    <n v="4.1666666666666664E-2"/>
  </r>
  <r>
    <s v="Keta"/>
    <s v="Keta Senior High Technical School"/>
    <x v="3"/>
    <x v="1"/>
    <x v="3"/>
    <n v="45"/>
    <n v="1"/>
    <x v="3"/>
    <s v="2020_0.125_Keta"/>
    <s v="Preliminary"/>
    <n v="1"/>
    <s v="Coastal"/>
    <n v="0.125"/>
  </r>
  <r>
    <s v="Nsein"/>
    <s v="Nsein Senior High School"/>
    <x v="5"/>
    <x v="1"/>
    <x v="3"/>
    <n v="29"/>
    <n v="2"/>
    <x v="3"/>
    <s v="2020_0.125_Keta"/>
    <s v="Preliminary"/>
    <n v="0"/>
    <s v="Coastal"/>
    <n v="6.25E-2"/>
  </r>
  <r>
    <s v="SDA Bekwai"/>
    <s v="SDA Senior High School, Bekwai"/>
    <x v="1"/>
    <x v="1"/>
    <x v="3"/>
    <n v="22"/>
    <n v="3"/>
    <x v="3"/>
    <s v="2020_0.125_Keta"/>
    <s v="Preliminary"/>
    <n v="0"/>
    <s v="Middle Belt"/>
    <n v="4.1666666666666664E-2"/>
  </r>
  <r>
    <s v="PJ"/>
    <s v="Pope John Senior High School and Minor Seminary"/>
    <x v="4"/>
    <x v="0"/>
    <x v="3"/>
    <n v="44"/>
    <n v="1"/>
    <x v="3"/>
    <s v="2020_0.125_PJ"/>
    <s v="Preliminary"/>
    <n v="1"/>
    <s v="Middle Belt"/>
    <n v="0.125"/>
  </r>
  <r>
    <s v="Porters"/>
    <s v="Archbishop Porter Girls' Senior High School"/>
    <x v="5"/>
    <x v="2"/>
    <x v="3"/>
    <n v="30"/>
    <n v="2"/>
    <x v="3"/>
    <s v="2020_0.125_PJ"/>
    <s v="Preliminary"/>
    <n v="0"/>
    <s v="Coastal"/>
    <n v="6.25E-2"/>
  </r>
  <r>
    <s v="St. Monica"/>
    <s v="St. Monica's Senior High School"/>
    <x v="1"/>
    <x v="2"/>
    <x v="3"/>
    <n v="8"/>
    <n v="3"/>
    <x v="3"/>
    <s v="2020_0.125_PJ"/>
    <s v="Preliminary"/>
    <n v="0"/>
    <s v="Middle Belt"/>
    <n v="4.1666666666666664E-2"/>
  </r>
  <r>
    <s v="St Margaret Mary"/>
    <s v="St Margaret Mary Senior High School"/>
    <x v="0"/>
    <x v="1"/>
    <x v="3"/>
    <n v="27"/>
    <n v="1"/>
    <x v="3"/>
    <s v="2020_0.125_St Margaret Mary"/>
    <s v="Preliminary"/>
    <n v="1"/>
    <s v="Coastal"/>
    <n v="0.125"/>
  </r>
  <r>
    <s v="Mawuli"/>
    <s v="Mawuli School"/>
    <x v="3"/>
    <x v="1"/>
    <x v="3"/>
    <n v="26"/>
    <n v="2"/>
    <x v="3"/>
    <s v="2020_0.125_St Margaret Mary"/>
    <s v="Preliminary"/>
    <n v="0"/>
    <s v="Coastal"/>
    <n v="6.25E-2"/>
  </r>
  <r>
    <s v="Ghana SHS Tamale"/>
    <s v="Ghana Senior High School, Tamale"/>
    <x v="7"/>
    <x v="1"/>
    <x v="3"/>
    <n v="23"/>
    <n v="3"/>
    <x v="3"/>
    <s v="2020_0.125_St Margaret Mary"/>
    <s v="Preliminary"/>
    <n v="0"/>
    <s v="Northern"/>
    <n v="4.1666666666666664E-2"/>
  </r>
  <r>
    <s v="Kumasi sectec"/>
    <s v="Kumasi Senior High Technical School"/>
    <x v="1"/>
    <x v="1"/>
    <x v="3"/>
    <n v="40"/>
    <n v="1"/>
    <x v="3"/>
    <s v="2020_0.125_Kumasi sectec"/>
    <s v="Preliminary"/>
    <n v="1"/>
    <s v="Middle Belt"/>
    <n v="0.125"/>
  </r>
  <r>
    <s v="Sogakope SHS"/>
    <s v="Sogakope Senior High School"/>
    <x v="3"/>
    <x v="1"/>
    <x v="3"/>
    <n v="25"/>
    <n v="2"/>
    <x v="3"/>
    <s v="2020_0.125_Kumasi sectec"/>
    <s v="Preliminary"/>
    <n v="0"/>
    <s v="Coastal"/>
    <n v="6.25E-2"/>
  </r>
  <r>
    <s v="Takoradi SHS"/>
    <s v="Takoradi Senior High School"/>
    <x v="5"/>
    <x v="1"/>
    <x v="3"/>
    <n v="12"/>
    <n v="3"/>
    <x v="3"/>
    <s v="2020_0.125_Kumasi sectec"/>
    <s v="Preliminary"/>
    <n v="0"/>
    <s v="Coastal"/>
    <n v="4.1666666666666664E-2"/>
  </r>
  <r>
    <s v="GSTS"/>
    <s v="Ghana Secondary Technical School"/>
    <x v="5"/>
    <x v="0"/>
    <x v="3"/>
    <n v="36"/>
    <n v="1"/>
    <x v="3"/>
    <s v="2020_0.125_GSTS"/>
    <s v="Preliminary"/>
    <n v="1"/>
    <s v="Coastal"/>
    <n v="0.125"/>
  </r>
  <r>
    <s v="Xavier"/>
    <s v="St Francis Xavier Mnior Seminary"/>
    <x v="8"/>
    <x v="0"/>
    <x v="3"/>
    <n v="29"/>
    <n v="2"/>
    <x v="3"/>
    <s v="2020_0.125_GSTS"/>
    <s v="Preliminary"/>
    <n v="0"/>
    <s v="Northern"/>
    <n v="6.25E-2"/>
  </r>
  <r>
    <s v="Ofori Panin"/>
    <s v="Ofori Panin Senior High School"/>
    <x v="4"/>
    <x v="1"/>
    <x v="3"/>
    <n v="16"/>
    <n v="3"/>
    <x v="3"/>
    <s v="2020_0.125_GSTS"/>
    <s v="Preliminary"/>
    <n v="0"/>
    <s v="Middle Belt"/>
    <n v="4.1666666666666664E-2"/>
  </r>
  <r>
    <s v="Wegehey"/>
    <s v="Wesley Girls' Senior High School"/>
    <x v="2"/>
    <x v="2"/>
    <x v="3"/>
    <n v="46"/>
    <n v="1"/>
    <x v="3"/>
    <s v="2020_0.125_Wegehey"/>
    <s v="Preliminary"/>
    <n v="1"/>
    <s v="Coastal"/>
    <n v="0.125"/>
  </r>
  <r>
    <s v="Sonrise"/>
    <s v="Sonrise Christian High School"/>
    <x v="3"/>
    <x v="1"/>
    <x v="3"/>
    <n v="25"/>
    <n v="2"/>
    <x v="3"/>
    <s v="2020_0.125_Wegehey"/>
    <s v="Preliminary"/>
    <n v="0"/>
    <s v="Coastal"/>
    <n v="6.25E-2"/>
  </r>
  <r>
    <s v="Tema Methodist"/>
    <s v="Tema Methodist Day Secondary School"/>
    <x v="0"/>
    <x v="1"/>
    <x v="3"/>
    <n v="18"/>
    <n v="3"/>
    <x v="3"/>
    <s v="2020_0.125_Wegehey"/>
    <s v="Preliminary"/>
    <n v="0"/>
    <s v="Coastal"/>
    <n v="4.1666666666666664E-2"/>
  </r>
  <r>
    <s v="Boa Amponsem"/>
    <s v="Boa Amponsem Senior High School"/>
    <x v="2"/>
    <x v="1"/>
    <x v="3"/>
    <n v="28"/>
    <n v="1"/>
    <x v="3"/>
    <s v="2020_0.125_Boa Amponsem"/>
    <s v="Preliminary"/>
    <n v="1"/>
    <s v="Coastal"/>
    <n v="0.125"/>
  </r>
  <r>
    <s v="Our Lady of Mt. Carmel Girls"/>
    <s v="Our Lady of Mt. Carmel Girls Senior High School"/>
    <x v="9"/>
    <x v="2"/>
    <x v="3"/>
    <n v="27"/>
    <n v="2"/>
    <x v="3"/>
    <s v="2020_0.125_Boa Amponsem"/>
    <s v="Preliminary"/>
    <n v="0"/>
    <s v="Middle Belt"/>
    <n v="6.25E-2"/>
  </r>
  <r>
    <s v="Our Lady of Mercy"/>
    <s v="Our Lady of Mercy Senior High School"/>
    <x v="0"/>
    <x v="1"/>
    <x v="3"/>
    <n v="17"/>
    <n v="3"/>
    <x v="3"/>
    <s v="2020_0.125_Boa Amponsem"/>
    <s v="Preliminary"/>
    <n v="0"/>
    <s v="Coastal"/>
    <n v="4.1666666666666664E-2"/>
  </r>
  <r>
    <s v="Holico"/>
    <s v="Holico Senior High School"/>
    <x v="2"/>
    <x v="2"/>
    <x v="3"/>
    <n v="46"/>
    <n v="1"/>
    <x v="3"/>
    <s v="2020_0.125_Holico"/>
    <s v="Preliminary"/>
    <n v="1"/>
    <s v="Coastal"/>
    <n v="1"/>
  </r>
  <r>
    <s v="Kintampo"/>
    <s v="Kintampo Senior High School"/>
    <x v="9"/>
    <x v="1"/>
    <x v="3"/>
    <n v="23"/>
    <n v="2"/>
    <x v="3"/>
    <s v="2020_0.125_Holico"/>
    <s v="Preliminary"/>
    <n v="0"/>
    <s v="Middle Belt"/>
    <n v="0.5"/>
  </r>
  <r>
    <s v="Oti Boateng"/>
    <s v="Oti Boateng Senior High School"/>
    <x v="4"/>
    <x v="1"/>
    <x v="3"/>
    <n v="14"/>
    <n v="3"/>
    <x v="3"/>
    <s v="2020_0.125_Holico"/>
    <s v="Preliminary"/>
    <n v="0"/>
    <s v="Middle Belt"/>
    <n v="0.33333333333333331"/>
  </r>
  <r>
    <s v="Augusco"/>
    <s v="St. Augustine's College"/>
    <x v="2"/>
    <x v="0"/>
    <x v="0"/>
    <n v="39"/>
    <n v="1"/>
    <x v="4"/>
    <s v="2019_1.0_Augusco"/>
    <s v="Final"/>
    <n v="1"/>
    <s v="Coastal"/>
    <n v="0.5"/>
  </r>
  <r>
    <s v="Presec Legon"/>
    <s v="Presbyterian Boys' Senior High School"/>
    <x v="0"/>
    <x v="0"/>
    <x v="0"/>
    <n v="34"/>
    <n v="2"/>
    <x v="4"/>
    <s v="2019_1.0_Augusco"/>
    <s v="Final"/>
    <n v="0"/>
    <s v="Coastal"/>
    <n v="0.25"/>
  </r>
  <r>
    <s v="Persco"/>
    <s v="St. Peter's Senior High School"/>
    <x v="4"/>
    <x v="0"/>
    <x v="0"/>
    <n v="25"/>
    <n v="3"/>
    <x v="4"/>
    <s v="2019_1.0_Augusco"/>
    <s v="Final"/>
    <n v="0"/>
    <s v="Middle Belt"/>
    <n v="0.16666666666666666"/>
  </r>
  <r>
    <s v="Augusco"/>
    <s v="St. Augustine's College"/>
    <x v="2"/>
    <x v="0"/>
    <x v="1"/>
    <n v="53"/>
    <n v="1"/>
    <x v="4"/>
    <s v="2019_0.5_Augusco"/>
    <s v="Semifinal"/>
    <n v="1"/>
    <s v="Coastal"/>
    <n v="0.5"/>
  </r>
  <r>
    <s v="Keta"/>
    <s v="Keta Senior High Technical School"/>
    <x v="3"/>
    <x v="1"/>
    <x v="1"/>
    <n v="29"/>
    <n v="2"/>
    <x v="4"/>
    <s v="2019_0.5_Augusco"/>
    <s v="Semifinal"/>
    <n v="0"/>
    <s v="Coastal"/>
    <n v="0.25"/>
  </r>
  <r>
    <s v="GSTS"/>
    <s v="Ghana Secondary Technical School"/>
    <x v="5"/>
    <x v="0"/>
    <x v="1"/>
    <n v="15"/>
    <n v="3"/>
    <x v="4"/>
    <s v="2019_0.5_Augusco"/>
    <s v="Semifinal"/>
    <n v="0"/>
    <s v="Coastal"/>
    <n v="0.16666666666666666"/>
  </r>
  <r>
    <s v="Presec Legon"/>
    <s v="Presbyterian Boys' Senior High School"/>
    <x v="0"/>
    <x v="0"/>
    <x v="1"/>
    <n v="48"/>
    <n v="1"/>
    <x v="4"/>
    <s v="2019_0.5_Presec Legon"/>
    <s v="Semifinal"/>
    <n v="1"/>
    <s v="Coastal"/>
    <n v="0.5"/>
  </r>
  <r>
    <s v="Adisco"/>
    <s v="Adisadel College"/>
    <x v="2"/>
    <x v="0"/>
    <x v="1"/>
    <n v="34"/>
    <n v="2"/>
    <x v="4"/>
    <s v="2019_0.5_Presec Legon"/>
    <s v="Semifinal"/>
    <n v="0"/>
    <s v="Coastal"/>
    <n v="0.25"/>
  </r>
  <r>
    <s v="Owass"/>
    <s v="Opoku Ware Senior High School"/>
    <x v="1"/>
    <x v="0"/>
    <x v="1"/>
    <n v="31"/>
    <n v="3"/>
    <x v="4"/>
    <s v="2019_0.5_Presec Legon"/>
    <s v="Semifinal"/>
    <n v="0"/>
    <s v="Middle Belt"/>
    <n v="0.16666666666666666"/>
  </r>
  <r>
    <s v="Persco"/>
    <s v="St. Peter's Senior High School"/>
    <x v="4"/>
    <x v="0"/>
    <x v="1"/>
    <n v="48"/>
    <n v="1"/>
    <x v="4"/>
    <s v="2019_0.5_Persco"/>
    <s v="Semifinal"/>
    <n v="1"/>
    <s v="Middle Belt"/>
    <n v="0.25"/>
  </r>
  <r>
    <s v="Tepa"/>
    <s v="Tepa Senior High School"/>
    <x v="1"/>
    <x v="1"/>
    <x v="1"/>
    <n v="28"/>
    <n v="2"/>
    <x v="4"/>
    <s v="2019_0.5_Persco"/>
    <s v="Semifinal"/>
    <n v="0"/>
    <s v="Middle Belt"/>
    <n v="0.125"/>
  </r>
  <r>
    <s v="Wegehey"/>
    <s v="Wesley Girls' Senior High School"/>
    <x v="2"/>
    <x v="2"/>
    <x v="1"/>
    <n v="26"/>
    <n v="3"/>
    <x v="4"/>
    <s v="2019_0.5_Persco"/>
    <s v="Semifinal"/>
    <n v="0"/>
    <s v="Coastal"/>
    <n v="8.3333333333333329E-2"/>
  </r>
  <r>
    <s v="Augusco"/>
    <s v="St. Augustine's College"/>
    <x v="2"/>
    <x v="0"/>
    <x v="2"/>
    <n v="57"/>
    <n v="1"/>
    <x v="4"/>
    <s v="2019_0.25_Augusco"/>
    <s v="Quarterfinal"/>
    <n v="1"/>
    <s v="Coastal"/>
    <n v="0.25"/>
  </r>
  <r>
    <s v="Tamale SHS"/>
    <s v="Tamale SHS Senior High School"/>
    <x v="7"/>
    <x v="1"/>
    <x v="2"/>
    <n v="45"/>
    <n v="2"/>
    <x v="4"/>
    <s v="2019_0.25_Augusco"/>
    <s v="Quarterfinal"/>
    <n v="0"/>
    <s v="Northern"/>
    <n v="0.125"/>
  </r>
  <r>
    <s v="Boa Amponsem"/>
    <s v="Boa Amponsem Senior High School"/>
    <x v="2"/>
    <x v="1"/>
    <x v="2"/>
    <n v="31"/>
    <n v="3"/>
    <x v="4"/>
    <s v="2019_0.25_Augusco"/>
    <s v="Quarterfinal"/>
    <n v="0"/>
    <s v="Coastal"/>
    <n v="8.3333333333333329E-2"/>
  </r>
  <r>
    <s v="Wegehey"/>
    <s v="Wesley Girls' Senior High School"/>
    <x v="2"/>
    <x v="2"/>
    <x v="2"/>
    <n v="57"/>
    <n v="1"/>
    <x v="4"/>
    <s v="2019_0.25_Wegehey"/>
    <s v="Quarterfinal"/>
    <n v="1"/>
    <s v="Coastal"/>
    <n v="0.25"/>
  </r>
  <r>
    <s v="Achimota"/>
    <s v="Achimota School"/>
    <x v="0"/>
    <x v="1"/>
    <x v="2"/>
    <n v="49"/>
    <n v="2"/>
    <x v="4"/>
    <s v="2019_0.25_Wegehey"/>
    <s v="Quarterfinal"/>
    <n v="0"/>
    <s v="Coastal"/>
    <n v="0.125"/>
  </r>
  <r>
    <s v="Prempeh"/>
    <s v="Prempeh College"/>
    <x v="1"/>
    <x v="0"/>
    <x v="2"/>
    <n v="27"/>
    <n v="3"/>
    <x v="4"/>
    <s v="2019_0.25_Wegehey"/>
    <s v="Quarterfinal"/>
    <n v="0"/>
    <s v="Middle Belt"/>
    <n v="8.3333333333333329E-2"/>
  </r>
  <r>
    <s v="Presec Legon"/>
    <s v="Presbyterian Boys' Senior High School"/>
    <x v="0"/>
    <x v="0"/>
    <x v="2"/>
    <n v="68"/>
    <n v="1"/>
    <x v="4"/>
    <s v="2019_0.25_Presec Legon"/>
    <s v="Quarterfinal"/>
    <n v="1"/>
    <s v="Coastal"/>
    <n v="0.25"/>
  </r>
  <r>
    <s v="PJ"/>
    <s v="Pope John Senior High School and Minor Seminary"/>
    <x v="4"/>
    <x v="0"/>
    <x v="2"/>
    <n v="47"/>
    <n v="2"/>
    <x v="4"/>
    <s v="2019_0.25_Presec Legon"/>
    <s v="Quarterfinal"/>
    <n v="0"/>
    <s v="Middle Belt"/>
    <n v="0.125"/>
  </r>
  <r>
    <s v="St. Johns School"/>
    <s v="St. Johns School Senior High School"/>
    <x v="5"/>
    <x v="0"/>
    <x v="2"/>
    <n v="22"/>
    <n v="3"/>
    <x v="4"/>
    <s v="2019_0.25_Presec Legon"/>
    <s v="Quarterfinal"/>
    <n v="0"/>
    <s v="Coastal"/>
    <n v="8.3333333333333329E-2"/>
  </r>
  <r>
    <s v="Persco"/>
    <s v="St. Peter's Senior High School"/>
    <x v="4"/>
    <x v="0"/>
    <x v="2"/>
    <n v="54"/>
    <n v="1"/>
    <x v="4"/>
    <s v="2019_0.25_Persco"/>
    <s v="Quarterfinal"/>
    <n v="1"/>
    <s v="Middle Belt"/>
    <n v="0.25"/>
  </r>
  <r>
    <s v="TI Amass Kumasi"/>
    <s v="TI Ahmadiyya Senior High School, Kumasi"/>
    <x v="1"/>
    <x v="1"/>
    <x v="2"/>
    <n v="49"/>
    <n v="2"/>
    <x v="4"/>
    <s v="2019_0.25_Persco"/>
    <s v="Quarterfinal"/>
    <n v="0"/>
    <s v="Middle Belt"/>
    <n v="0.125"/>
  </r>
  <r>
    <s v="Kpando SHS"/>
    <s v="Kpando Senior High School"/>
    <x v="3"/>
    <x v="1"/>
    <x v="2"/>
    <n v="17"/>
    <n v="3"/>
    <x v="4"/>
    <s v="2019_0.25_Persco"/>
    <s v="Quarterfinal"/>
    <n v="0"/>
    <s v="Coastal"/>
    <n v="8.3333333333333329E-2"/>
  </r>
  <r>
    <s v="Adisco"/>
    <s v="Adisadel College"/>
    <x v="2"/>
    <x v="0"/>
    <x v="2"/>
    <n v="46"/>
    <n v="1"/>
    <x v="4"/>
    <s v="2019_0.25_Adisco"/>
    <s v="Quarterfinal"/>
    <n v="1"/>
    <s v="Coastal"/>
    <n v="0.25"/>
  </r>
  <r>
    <s v="Kumaca"/>
    <s v="Kumasi Academy"/>
    <x v="1"/>
    <x v="1"/>
    <x v="2"/>
    <n v="42"/>
    <n v="2"/>
    <x v="4"/>
    <s v="2019_0.25_Adisco"/>
    <s v="Quarterfinal"/>
    <n v="0"/>
    <s v="Middle Belt"/>
    <n v="0.125"/>
  </r>
  <r>
    <s v="Ghana SHS Tamale"/>
    <s v="Ghana Senior High School, Tamale"/>
    <x v="7"/>
    <x v="1"/>
    <x v="2"/>
    <n v="14"/>
    <n v="3"/>
    <x v="4"/>
    <s v="2019_0.25_Adisco"/>
    <s v="Quarterfinal"/>
    <n v="0"/>
    <s v="Northern"/>
    <n v="8.3333333333333329E-2"/>
  </r>
  <r>
    <s v="Keta"/>
    <s v="Keta Senior High Technical School"/>
    <x v="3"/>
    <x v="1"/>
    <x v="2"/>
    <n v="47"/>
    <n v="1"/>
    <x v="4"/>
    <s v="2019_0.25_Keta"/>
    <s v="Quarterfinal"/>
    <n v="1"/>
    <s v="Coastal"/>
    <n v="0.25"/>
  </r>
  <r>
    <s v="Oti Boateng"/>
    <s v="Oti Boateng Senior High School"/>
    <x v="4"/>
    <x v="1"/>
    <x v="2"/>
    <n v="28"/>
    <n v="2"/>
    <x v="4"/>
    <s v="2019_0.25_Keta"/>
    <s v="Quarterfinal"/>
    <n v="0"/>
    <s v="Middle Belt"/>
    <n v="0.125"/>
  </r>
  <r>
    <s v="Chemu SHS"/>
    <s v="Chemu Senior High School"/>
    <x v="0"/>
    <x v="1"/>
    <x v="2"/>
    <n v="24"/>
    <n v="3"/>
    <x v="4"/>
    <s v="2019_0.25_Keta"/>
    <s v="Quarterfinal"/>
    <n v="0"/>
    <s v="Coastal"/>
    <n v="8.3333333333333329E-2"/>
  </r>
  <r>
    <s v="GSTS"/>
    <s v="Ghana Secondary Technical School"/>
    <x v="5"/>
    <x v="0"/>
    <x v="2"/>
    <n v="26"/>
    <n v="1"/>
    <x v="4"/>
    <s v="2019_0.25_GSTS"/>
    <s v="Quarterfinal"/>
    <n v="1"/>
    <s v="Coastal"/>
    <n v="0.25"/>
  </r>
  <r>
    <s v="Takoradi SHS"/>
    <s v="Takoradi Senior High School"/>
    <x v="5"/>
    <x v="1"/>
    <x v="2"/>
    <n v="17"/>
    <n v="2"/>
    <x v="4"/>
    <s v="2019_0.25_GSTS"/>
    <s v="Quarterfinal"/>
    <n v="0"/>
    <s v="Coastal"/>
    <n v="0.125"/>
  </r>
  <r>
    <s v="Obuasi SHTS"/>
    <s v="Obuasi Senior High Technical School"/>
    <x v="1"/>
    <x v="1"/>
    <x v="2"/>
    <n v="14"/>
    <n v="3"/>
    <x v="4"/>
    <s v="2019_0.25_GSTS"/>
    <s v="Quarterfinal"/>
    <n v="0"/>
    <s v="Middle Belt"/>
    <n v="8.3333333333333329E-2"/>
  </r>
  <r>
    <s v="Owass"/>
    <s v="Opoku Ware Senior High School"/>
    <x v="1"/>
    <x v="0"/>
    <x v="2"/>
    <n v="64"/>
    <n v="1"/>
    <x v="4"/>
    <s v="2019_0.25_Owass"/>
    <s v="Quarterfinal"/>
    <n v="1"/>
    <s v="Middle Belt"/>
    <n v="0.25"/>
  </r>
  <r>
    <s v="Unipra"/>
    <s v="University Practice Senior High School"/>
    <x v="2"/>
    <x v="1"/>
    <x v="2"/>
    <n v="45"/>
    <n v="2"/>
    <x v="4"/>
    <s v="2019_0.25_Owass"/>
    <s v="Quarterfinal"/>
    <n v="0"/>
    <s v="Coastal"/>
    <n v="0.125"/>
  </r>
  <r>
    <s v="St. Ignatius of Loyola"/>
    <s v="St. Ignatius of Loyola Senior High School"/>
    <x v="8"/>
    <x v="1"/>
    <x v="2"/>
    <n v="21"/>
    <n v="3"/>
    <x v="4"/>
    <s v="2019_0.25_Owass"/>
    <s v="Quarterfinal"/>
    <n v="0"/>
    <s v="Northern"/>
    <n v="8.3333333333333329E-2"/>
  </r>
  <r>
    <s v="Tepa"/>
    <s v="Tepa Senior High School"/>
    <x v="1"/>
    <x v="1"/>
    <x v="2"/>
    <n v="50"/>
    <n v="1"/>
    <x v="4"/>
    <s v="2019_0.25_Tepa"/>
    <s v="Quarterfinal"/>
    <n v="1"/>
    <s v="Middle Belt"/>
    <n v="0.125"/>
  </r>
  <r>
    <s v="St Johns Grammar"/>
    <s v="St Johns Grammar Senior High School"/>
    <x v="0"/>
    <x v="1"/>
    <x v="2"/>
    <n v="39"/>
    <n v="2"/>
    <x v="4"/>
    <s v="2019_0.25_Tepa"/>
    <s v="Quarterfinal"/>
    <n v="0"/>
    <s v="Coastal"/>
    <n v="6.25E-2"/>
  </r>
  <r>
    <s v="Accra Aca"/>
    <s v="Accra Academy"/>
    <x v="0"/>
    <x v="0"/>
    <x v="2"/>
    <n v="29"/>
    <n v="3"/>
    <x v="4"/>
    <s v="2019_0.25_Tepa"/>
    <s v="Quarterfinal"/>
    <n v="0"/>
    <s v="Coastal"/>
    <n v="4.1666666666666664E-2"/>
  </r>
  <r>
    <s v="Augusco"/>
    <s v="St. Augustine's College"/>
    <x v="2"/>
    <x v="0"/>
    <x v="3"/>
    <n v="58"/>
    <n v="1"/>
    <x v="4"/>
    <s v="2019_0.125_Augusco"/>
    <s v="Preliminary"/>
    <n v="1"/>
    <s v="Coastal"/>
    <n v="0.125"/>
  </r>
  <r>
    <s v="Mfantsipim"/>
    <s v="Mfantsipim School"/>
    <x v="2"/>
    <x v="0"/>
    <x v="3"/>
    <n v="38"/>
    <n v="2"/>
    <x v="4"/>
    <s v="2019_0.125_Augusco"/>
    <s v="Preliminary"/>
    <n v="0"/>
    <s v="Coastal"/>
    <n v="6.25E-2"/>
  </r>
  <r>
    <s v="Swedru SHS"/>
    <s v="Swedru Senior High School"/>
    <x v="2"/>
    <x v="1"/>
    <x v="3"/>
    <n v="10"/>
    <n v="3"/>
    <x v="4"/>
    <s v="2019_0.125_Augusco"/>
    <s v="Preliminary"/>
    <n v="0"/>
    <s v="Coastal"/>
    <n v="4.1666666666666664E-2"/>
  </r>
  <r>
    <s v="Tamale SHS"/>
    <s v="Tamale SHS Senior High School"/>
    <x v="7"/>
    <x v="1"/>
    <x v="3"/>
    <n v="30"/>
    <n v="1"/>
    <x v="4"/>
    <s v="2019_0.125_Tamale SHS"/>
    <s v="Preliminary"/>
    <n v="1"/>
    <s v="Northern"/>
    <n v="0.125"/>
  </r>
  <r>
    <s v="Kadjebi Asato"/>
    <s v="Kadjebi Asato Senior High School"/>
    <x v="12"/>
    <x v="1"/>
    <x v="3"/>
    <n v="25"/>
    <n v="2"/>
    <x v="4"/>
    <s v="2019_0.125_Tamale SHS"/>
    <s v="Preliminary"/>
    <n v="0"/>
    <s v="Middle Belt"/>
    <n v="6.25E-2"/>
  </r>
  <r>
    <s v="Ada SHS"/>
    <s v="Ada Senior High School"/>
    <x v="0"/>
    <x v="1"/>
    <x v="3"/>
    <n v="25"/>
    <n v="3"/>
    <x v="4"/>
    <s v="2019_0.125_Tamale SHS"/>
    <s v="Preliminary"/>
    <n v="0"/>
    <s v="Coastal"/>
    <n v="4.1666666666666664E-2"/>
  </r>
  <r>
    <s v="Boa Amponsem"/>
    <s v="Boa Amponsem Senior High School"/>
    <x v="2"/>
    <x v="1"/>
    <x v="3"/>
    <n v="41"/>
    <n v="1"/>
    <x v="4"/>
    <s v="2019_0.125_Boa Amponsem"/>
    <s v="Preliminary"/>
    <n v="1"/>
    <s v="Coastal"/>
    <n v="0.125"/>
  </r>
  <r>
    <s v="KNUST SHS"/>
    <s v="KNUST Senior High School"/>
    <x v="1"/>
    <x v="1"/>
    <x v="3"/>
    <n v="19"/>
    <n v="2"/>
    <x v="4"/>
    <s v="2019_0.125_Boa Amponsem"/>
    <s v="Preliminary"/>
    <n v="0"/>
    <s v="Middle Belt"/>
    <n v="6.25E-2"/>
  </r>
  <r>
    <s v="Northern School of Business"/>
    <s v="Northern School of Business"/>
    <x v="7"/>
    <x v="1"/>
    <x v="3"/>
    <n v="15"/>
    <n v="3"/>
    <x v="4"/>
    <s v="2019_0.125_Boa Amponsem"/>
    <s v="Preliminary"/>
    <n v="0"/>
    <s v="Northern"/>
    <n v="4.1666666666666664E-2"/>
  </r>
  <r>
    <s v="Wegehey"/>
    <s v="Wesley Girls' Senior High School"/>
    <x v="2"/>
    <x v="2"/>
    <x v="3"/>
    <n v="55"/>
    <n v="1"/>
    <x v="4"/>
    <s v="2019_0.125_Wegehey"/>
    <s v="Preliminary"/>
    <n v="1"/>
    <s v="Coastal"/>
    <n v="0.125"/>
  </r>
  <r>
    <s v="Akwamuman"/>
    <s v="Akwamuman Senior High School"/>
    <x v="4"/>
    <x v="1"/>
    <x v="3"/>
    <n v="24"/>
    <n v="2"/>
    <x v="4"/>
    <s v="2019_0.125_Wegehey"/>
    <s v="Preliminary"/>
    <n v="0"/>
    <s v="Middle Belt"/>
    <n v="6.25E-2"/>
  </r>
  <r>
    <s v="Breman Asikuma"/>
    <s v="Breman Asikuma Senior High School"/>
    <x v="2"/>
    <x v="1"/>
    <x v="3"/>
    <n v="14"/>
    <n v="3"/>
    <x v="4"/>
    <s v="2019_0.125_Wegehey"/>
    <s v="Preliminary"/>
    <n v="0"/>
    <s v="Coastal"/>
    <n v="4.1666666666666664E-2"/>
  </r>
  <r>
    <s v="Achimota"/>
    <s v="Achimota School"/>
    <x v="0"/>
    <x v="1"/>
    <x v="3"/>
    <n v="31"/>
    <n v="1"/>
    <x v="4"/>
    <s v="2019_0.125_Achimota"/>
    <s v="Preliminary"/>
    <n v="1"/>
    <s v="Coastal"/>
    <n v="0.125"/>
  </r>
  <r>
    <s v="Aquinas"/>
    <s v="St. Thomas Aquinas Senior High School"/>
    <x v="0"/>
    <x v="0"/>
    <x v="3"/>
    <n v="28"/>
    <n v="2"/>
    <x v="4"/>
    <s v="2019_0.125_Achimota"/>
    <s v="Preliminary"/>
    <n v="0"/>
    <s v="Coastal"/>
    <n v="6.25E-2"/>
  </r>
  <r>
    <s v="Presec Nkwatia"/>
    <s v="Nkwatia Presbyterian Senior High School"/>
    <x v="4"/>
    <x v="1"/>
    <x v="3"/>
    <n v="24"/>
    <n v="3"/>
    <x v="4"/>
    <s v="2019_0.125_Achimota"/>
    <s v="Preliminary"/>
    <n v="0"/>
    <s v="Middle Belt"/>
    <n v="4.1666666666666664E-2"/>
  </r>
  <r>
    <s v="Prempeh"/>
    <s v="Prempeh College"/>
    <x v="1"/>
    <x v="0"/>
    <x v="3"/>
    <n v="25"/>
    <n v="1"/>
    <x v="4"/>
    <s v="2019_0.125_Prempeh"/>
    <s v="Preliminary"/>
    <n v="1"/>
    <s v="Middle Belt"/>
    <n v="0.125"/>
  </r>
  <r>
    <s v="Atebubu"/>
    <s v="Atebubu Senior High School"/>
    <x v="9"/>
    <x v="1"/>
    <x v="3"/>
    <n v="17"/>
    <n v="2"/>
    <x v="4"/>
    <s v="2019_0.125_Prempeh"/>
    <s v="Preliminary"/>
    <n v="0"/>
    <s v="Middle Belt"/>
    <n v="6.25E-2"/>
  </r>
  <r>
    <s v="Labone SHS"/>
    <s v="Labone Senior High School"/>
    <x v="0"/>
    <x v="1"/>
    <x v="3"/>
    <n v="17"/>
    <n v="3"/>
    <x v="4"/>
    <s v="2019_0.125_Prempeh"/>
    <s v="Preliminary"/>
    <n v="0"/>
    <s v="Coastal"/>
    <n v="4.1666666666666664E-2"/>
  </r>
  <r>
    <s v="Presec Legon"/>
    <s v="Presbyterian Boys' Senior High School"/>
    <x v="0"/>
    <x v="0"/>
    <x v="3"/>
    <n v="47"/>
    <n v="1"/>
    <x v="4"/>
    <s v="2019_0.125_Presec Legon"/>
    <s v="Preliminary"/>
    <n v="1"/>
    <s v="Coastal"/>
    <n v="0.125"/>
  </r>
  <r>
    <s v="Assin State"/>
    <s v="Assin State College"/>
    <x v="2"/>
    <x v="1"/>
    <x v="3"/>
    <n v="31"/>
    <n v="2"/>
    <x v="4"/>
    <s v="2019_0.125_Presec Legon"/>
    <s v="Preliminary"/>
    <n v="0"/>
    <s v="Coastal"/>
    <n v="6.25E-2"/>
  </r>
  <r>
    <s v="Ofori Panin"/>
    <s v="Ofori Panin Senior High School"/>
    <x v="4"/>
    <x v="1"/>
    <x v="3"/>
    <n v="25"/>
    <n v="3"/>
    <x v="4"/>
    <s v="2019_0.125_Presec Legon"/>
    <s v="Preliminary"/>
    <n v="0"/>
    <s v="Middle Belt"/>
    <n v="4.1666666666666664E-2"/>
  </r>
  <r>
    <s v="PJ"/>
    <s v="Pope John Senior High School and Minor Seminary"/>
    <x v="4"/>
    <x v="0"/>
    <x v="3"/>
    <n v="36"/>
    <n v="1"/>
    <x v="4"/>
    <s v="2019_0.125_PJ"/>
    <s v="Preliminary"/>
    <n v="1"/>
    <s v="Middle Belt"/>
    <n v="0.125"/>
  </r>
  <r>
    <s v="Notre Dame Girls"/>
    <s v="Notre Dame Girls Senior High School"/>
    <x v="6"/>
    <x v="2"/>
    <x v="3"/>
    <n v="23"/>
    <n v="2"/>
    <x v="4"/>
    <s v="2019_0.125_PJ"/>
    <s v="Preliminary"/>
    <n v="0"/>
    <s v="Middle Belt"/>
    <n v="6.25E-2"/>
  </r>
  <r>
    <s v="Koforidua Sec Tech"/>
    <s v="Koforidua Sec Tech Senior High School"/>
    <x v="4"/>
    <x v="0"/>
    <x v="3"/>
    <n v="18"/>
    <n v="3"/>
    <x v="4"/>
    <s v="2019_0.125_PJ"/>
    <s v="Preliminary"/>
    <n v="0"/>
    <s v="Middle Belt"/>
    <n v="4.1666666666666664E-2"/>
  </r>
  <r>
    <s v="St. Johns School"/>
    <s v="St. Johns School Senior High School"/>
    <x v="5"/>
    <x v="0"/>
    <x v="3"/>
    <n v="38"/>
    <n v="1"/>
    <x v="4"/>
    <s v="2019_0.125_St. Johns School"/>
    <s v="Preliminary"/>
    <n v="1"/>
    <s v="Coastal"/>
    <n v="0.125"/>
  </r>
  <r>
    <s v="Tamale Islamic"/>
    <s v="Tamale Islamic Senior High School"/>
    <x v="7"/>
    <x v="1"/>
    <x v="3"/>
    <n v="34"/>
    <n v="2"/>
    <x v="4"/>
    <s v="2019_0.125_St. Johns School"/>
    <s v="Preliminary"/>
    <n v="0"/>
    <s v="Northern"/>
    <n v="6.25E-2"/>
  </r>
  <r>
    <s v="Porters"/>
    <s v="Archbishop Porter Girls' Senior High School"/>
    <x v="5"/>
    <x v="2"/>
    <x v="3"/>
    <n v="22"/>
    <n v="3"/>
    <x v="4"/>
    <s v="2019_0.125_St. Johns School"/>
    <s v="Preliminary"/>
    <n v="0"/>
    <s v="Coastal"/>
    <n v="4.1666666666666664E-2"/>
  </r>
  <r>
    <s v="Persco"/>
    <s v="St. Peter's Senior High School"/>
    <x v="4"/>
    <x v="0"/>
    <x v="3"/>
    <n v="55"/>
    <n v="1"/>
    <x v="4"/>
    <s v="2019_0.125_Persco"/>
    <s v="Preliminary"/>
    <n v="1"/>
    <s v="Middle Belt"/>
    <n v="0.125"/>
  </r>
  <r>
    <s v="Apam"/>
    <s v="Apam Senior High School"/>
    <x v="2"/>
    <x v="1"/>
    <x v="3"/>
    <n v="40"/>
    <n v="2"/>
    <x v="4"/>
    <s v="2019_0.125_Persco"/>
    <s v="Preliminary"/>
    <n v="0"/>
    <s v="Coastal"/>
    <n v="6.25E-2"/>
  </r>
  <r>
    <s v="Drobo"/>
    <s v="Drobo Senior High School"/>
    <x v="6"/>
    <x v="1"/>
    <x v="3"/>
    <n v="24"/>
    <n v="3"/>
    <x v="4"/>
    <s v="2019_0.125_Persco"/>
    <s v="Preliminary"/>
    <n v="0"/>
    <s v="Middle Belt"/>
    <n v="4.1666666666666664E-2"/>
  </r>
  <r>
    <s v="TI Amass Kumasi"/>
    <s v="TI Ahmadiyya Senior High School, Kumasi"/>
    <x v="1"/>
    <x v="1"/>
    <x v="3"/>
    <n v="62"/>
    <n v="1"/>
    <x v="4"/>
    <s v="2019_0.125_TI Amass Kumasi"/>
    <s v="Preliminary"/>
    <n v="1"/>
    <s v="Middle Belt"/>
    <n v="0.125"/>
  </r>
  <r>
    <s v="Kalpohin Shs"/>
    <s v="Kalpohin Senior High School"/>
    <x v="7"/>
    <x v="1"/>
    <x v="3"/>
    <n v="32"/>
    <n v="2"/>
    <x v="4"/>
    <s v="2019_0.125_TI Amass Kumasi"/>
    <s v="Preliminary"/>
    <n v="0"/>
    <s v="Northern"/>
    <n v="6.25E-2"/>
  </r>
  <r>
    <s v="St Margaret Mary"/>
    <s v="St Margaret Mary Senior High School"/>
    <x v="0"/>
    <x v="1"/>
    <x v="3"/>
    <n v="32"/>
    <n v="3"/>
    <x v="4"/>
    <s v="2019_0.125_TI Amass Kumasi"/>
    <s v="Preliminary"/>
    <n v="0"/>
    <s v="Coastal"/>
    <n v="4.1666666666666664E-2"/>
  </r>
  <r>
    <s v="Kpando SHS"/>
    <s v="Kpando Senior High School"/>
    <x v="3"/>
    <x v="1"/>
    <x v="3"/>
    <n v="45"/>
    <n v="1"/>
    <x v="4"/>
    <s v="2019_0.125_Kpando SHS"/>
    <s v="Preliminary"/>
    <n v="1"/>
    <s v="Coastal"/>
    <n v="0.125"/>
  </r>
  <r>
    <s v="Kuhis"/>
    <s v="Kumasi High School"/>
    <x v="1"/>
    <x v="0"/>
    <x v="3"/>
    <n v="31"/>
    <n v="2"/>
    <x v="4"/>
    <s v="2019_0.125_Kpando SHS"/>
    <s v="Preliminary"/>
    <n v="0"/>
    <s v="Middle Belt"/>
    <n v="6.25E-2"/>
  </r>
  <r>
    <s v="Aburi Girls"/>
    <s v="Aburi Girls' Senior High School"/>
    <x v="4"/>
    <x v="2"/>
    <x v="3"/>
    <n v="15"/>
    <n v="3"/>
    <x v="4"/>
    <s v="2019_0.125_Kpando SHS"/>
    <s v="Preliminary"/>
    <n v="0"/>
    <s v="Middle Belt"/>
    <n v="4.1666666666666664E-2"/>
  </r>
  <r>
    <s v="Adisco"/>
    <s v="Adisadel College"/>
    <x v="2"/>
    <x v="0"/>
    <x v="3"/>
    <n v="46"/>
    <n v="1"/>
    <x v="4"/>
    <s v="2019_0.125_Adisco"/>
    <s v="Preliminary"/>
    <n v="1"/>
    <s v="Coastal"/>
    <n v="0.125"/>
  </r>
  <r>
    <s v="Nsutaman SHS"/>
    <s v="Nsutaman Catholic Senior High School"/>
    <x v="1"/>
    <x v="1"/>
    <x v="3"/>
    <n v="33"/>
    <n v="2"/>
    <x v="4"/>
    <s v="2019_0.125_Adisco"/>
    <s v="Preliminary"/>
    <n v="0"/>
    <s v="Middle Belt"/>
    <n v="6.25E-2"/>
  </r>
  <r>
    <s v="Ghanata"/>
    <s v="Ghanata Senior High School"/>
    <x v="0"/>
    <x v="1"/>
    <x v="3"/>
    <n v="28"/>
    <n v="3"/>
    <x v="4"/>
    <s v="2019_0.125_Adisco"/>
    <s v="Preliminary"/>
    <n v="0"/>
    <s v="Coastal"/>
    <n v="4.1666666666666664E-2"/>
  </r>
  <r>
    <s v="Kumaca"/>
    <s v="Kumasi Academy"/>
    <x v="1"/>
    <x v="1"/>
    <x v="3"/>
    <n v="44"/>
    <n v="1"/>
    <x v="4"/>
    <s v="2019_0.125_Kumaca"/>
    <s v="Preliminary"/>
    <n v="1"/>
    <s v="Middle Belt"/>
    <n v="0.125"/>
  </r>
  <r>
    <s v="Anlo SHS"/>
    <s v="Anlo Senior High School"/>
    <x v="3"/>
    <x v="1"/>
    <x v="3"/>
    <n v="28"/>
    <n v="2"/>
    <x v="4"/>
    <s v="2019_0.125_Kumaca"/>
    <s v="Preliminary"/>
    <n v="0"/>
    <s v="Coastal"/>
    <n v="6.25E-2"/>
  </r>
  <r>
    <s v="Holico"/>
    <s v="Holico Senior High School"/>
    <x v="2"/>
    <x v="2"/>
    <x v="3"/>
    <n v="24"/>
    <n v="3"/>
    <x v="4"/>
    <s v="2019_0.125_Kumaca"/>
    <s v="Preliminary"/>
    <n v="0"/>
    <s v="Coastal"/>
    <n v="4.1666666666666664E-2"/>
  </r>
  <r>
    <s v="Ghana SHS Tamale"/>
    <s v="Ghana Senior High School, Tamale"/>
    <x v="7"/>
    <x v="1"/>
    <x v="3"/>
    <n v="37"/>
    <n v="1"/>
    <x v="4"/>
    <s v="2019_0.125_Ghana SHS Tamale"/>
    <s v="Preliminary"/>
    <n v="1"/>
    <s v="Northern"/>
    <n v="0.125"/>
  </r>
  <r>
    <s v="Armed Forces"/>
    <s v="Armed Forces Senior High Technical School"/>
    <x v="1"/>
    <x v="1"/>
    <x v="3"/>
    <n v="28"/>
    <n v="2"/>
    <x v="4"/>
    <s v="2019_0.125_Ghana SHS Tamale"/>
    <s v="Preliminary"/>
    <n v="0"/>
    <s v="Middle Belt"/>
    <n v="6.25E-2"/>
  </r>
  <r>
    <s v="New Juaben SHS"/>
    <s v="New Juaben SHS Senior High School"/>
    <x v="4"/>
    <x v="1"/>
    <x v="3"/>
    <n v="25"/>
    <n v="3"/>
    <x v="4"/>
    <s v="2019_0.125_Ghana SHS Tamale"/>
    <s v="Preliminary"/>
    <n v="0"/>
    <s v="Middle Belt"/>
    <n v="4.1666666666666664E-2"/>
  </r>
  <r>
    <s v="Keta"/>
    <s v="Keta Senior High Technical School"/>
    <x v="3"/>
    <x v="1"/>
    <x v="3"/>
    <n v="27"/>
    <n v="1"/>
    <x v="4"/>
    <s v="2019_0.125_Keta"/>
    <s v="Preliminary"/>
    <n v="1"/>
    <s v="Coastal"/>
    <n v="0.125"/>
  </r>
  <r>
    <s v="SDA Bekwai"/>
    <s v="SDA Senior High School, Bekwai"/>
    <x v="1"/>
    <x v="1"/>
    <x v="3"/>
    <n v="19"/>
    <n v="2"/>
    <x v="4"/>
    <s v="2019_0.125_Keta"/>
    <s v="Preliminary"/>
    <n v="0"/>
    <s v="Middle Belt"/>
    <n v="6.25E-2"/>
  </r>
  <r>
    <s v="Edinaman SHS"/>
    <s v="Edinaman Senior High School"/>
    <x v="2"/>
    <x v="1"/>
    <x v="3"/>
    <n v="14"/>
    <n v="3"/>
    <x v="4"/>
    <s v="2019_0.125_Keta"/>
    <s v="Preliminary"/>
    <n v="0"/>
    <s v="Coastal"/>
    <n v="4.1666666666666664E-2"/>
  </r>
  <r>
    <s v="Oti Boateng"/>
    <s v="Oti Boateng Senior High School"/>
    <x v="4"/>
    <x v="1"/>
    <x v="3"/>
    <n v="33"/>
    <n v="1"/>
    <x v="4"/>
    <s v="2019_0.125_Oti Boateng"/>
    <s v="Preliminary"/>
    <n v="1"/>
    <s v="Middle Belt"/>
    <n v="0.125"/>
  </r>
  <r>
    <s v="Osei Tutu"/>
    <s v="Osei Tutu Senior High School"/>
    <x v="1"/>
    <x v="0"/>
    <x v="3"/>
    <n v="22"/>
    <n v="2"/>
    <x v="4"/>
    <s v="2019_0.125_Oti Boateng"/>
    <s v="Preliminary"/>
    <n v="0"/>
    <s v="Middle Belt"/>
    <n v="6.25E-2"/>
  </r>
  <r>
    <s v="Sandema SHTS"/>
    <s v="Sandema Senior High Technical School"/>
    <x v="10"/>
    <x v="1"/>
    <x v="3"/>
    <n v="19"/>
    <n v="3"/>
    <x v="4"/>
    <s v="2019_0.125_Oti Boateng"/>
    <s v="Preliminary"/>
    <n v="0"/>
    <s v="Northern"/>
    <n v="4.1666666666666664E-2"/>
  </r>
  <r>
    <s v="Chemu SHS"/>
    <s v="Chemu Senior High School"/>
    <x v="0"/>
    <x v="1"/>
    <x v="3"/>
    <n v="43"/>
    <n v="1"/>
    <x v="4"/>
    <s v="2019_0.125_Chemu SHS"/>
    <s v="Preliminary"/>
    <n v="1"/>
    <s v="Coastal"/>
    <n v="0.125"/>
  </r>
  <r>
    <s v="St. Louis"/>
    <s v="St. Louis Senior High School"/>
    <x v="1"/>
    <x v="2"/>
    <x v="3"/>
    <n v="30"/>
    <n v="2"/>
    <x v="4"/>
    <s v="2019_0.125_Chemu SHS"/>
    <s v="Preliminary"/>
    <n v="0"/>
    <s v="Middle Belt"/>
    <n v="6.25E-2"/>
  </r>
  <r>
    <s v="Presec Osino"/>
    <s v="Osino Presby Senior High Technical School"/>
    <x v="4"/>
    <x v="1"/>
    <x v="3"/>
    <n v="14"/>
    <n v="3"/>
    <x v="4"/>
    <s v="2019_0.125_Chemu SHS"/>
    <s v="Preliminary"/>
    <n v="0"/>
    <s v="Middle Belt"/>
    <n v="4.1666666666666664E-2"/>
  </r>
  <r>
    <s v="GSTS"/>
    <s v="Ghana Secondary Technical School"/>
    <x v="5"/>
    <x v="0"/>
    <x v="3"/>
    <n v="31"/>
    <n v="1"/>
    <x v="4"/>
    <s v="2019_0.125_GSTS"/>
    <s v="Preliminary"/>
    <n v="1"/>
    <s v="Coastal"/>
    <n v="0.125"/>
  </r>
  <r>
    <s v="Mawuli"/>
    <s v="Mawuli School"/>
    <x v="3"/>
    <x v="1"/>
    <x v="3"/>
    <n v="29"/>
    <n v="2"/>
    <x v="4"/>
    <s v="2019_0.125_GSTS"/>
    <s v="Preliminary"/>
    <n v="0"/>
    <s v="Coastal"/>
    <n v="6.25E-2"/>
  </r>
  <r>
    <s v="Ola SHS"/>
    <s v="OLA Girls' Senior High School"/>
    <x v="3"/>
    <x v="2"/>
    <x v="3"/>
    <n v="22"/>
    <n v="3"/>
    <x v="4"/>
    <s v="2019_0.125_GSTS"/>
    <s v="Preliminary"/>
    <n v="0"/>
    <s v="Coastal"/>
    <n v="4.1666666666666664E-2"/>
  </r>
  <r>
    <s v="Takoradi SHS"/>
    <s v="Takoradi Senior High School"/>
    <x v="5"/>
    <x v="1"/>
    <x v="3"/>
    <n v="25"/>
    <n v="1"/>
    <x v="4"/>
    <s v="2019_0.125_Takoradi SHS"/>
    <s v="Preliminary"/>
    <n v="1"/>
    <s v="Coastal"/>
    <n v="0.125"/>
  </r>
  <r>
    <s v="WASS"/>
    <s v="West Africa Senior High School"/>
    <x v="0"/>
    <x v="1"/>
    <x v="3"/>
    <n v="18"/>
    <n v="2"/>
    <x v="4"/>
    <s v="2019_0.125_Takoradi SHS"/>
    <s v="Preliminary"/>
    <n v="0"/>
    <s v="Coastal"/>
    <n v="6.25E-2"/>
  </r>
  <r>
    <s v="Sogakope SHS"/>
    <s v="Sogakope Senior High School"/>
    <x v="3"/>
    <x v="1"/>
    <x v="3"/>
    <n v="16"/>
    <n v="3"/>
    <x v="4"/>
    <s v="2019_0.125_Takoradi SHS"/>
    <s v="Preliminary"/>
    <n v="0"/>
    <s v="Coastal"/>
    <n v="4.1666666666666664E-2"/>
  </r>
  <r>
    <s v="Obuasi SHTS"/>
    <s v="Obuasi Senior High Technical School"/>
    <x v="1"/>
    <x v="1"/>
    <x v="3"/>
    <n v="44"/>
    <n v="1"/>
    <x v="4"/>
    <s v="2019_0.125_Obuasi SHTS"/>
    <s v="Preliminary"/>
    <n v="1"/>
    <s v="Middle Belt"/>
    <n v="0.125"/>
  </r>
  <r>
    <s v="Xavier"/>
    <s v="St Francis Xavier Mnior Seminary"/>
    <x v="8"/>
    <x v="0"/>
    <x v="3"/>
    <n v="18"/>
    <n v="2"/>
    <x v="4"/>
    <s v="2019_0.125_Obuasi SHTS"/>
    <s v="Preliminary"/>
    <n v="0"/>
    <s v="Northern"/>
    <n v="6.25E-2"/>
  </r>
  <r>
    <s v="Krogiss"/>
    <s v="Krobo Girls' Senior High School"/>
    <x v="4"/>
    <x v="2"/>
    <x v="3"/>
    <n v="16"/>
    <n v="3"/>
    <x v="4"/>
    <s v="2019_0.125_Obuasi SHTS"/>
    <s v="Preliminary"/>
    <n v="0"/>
    <s v="Middle Belt"/>
    <n v="4.1666666666666664E-2"/>
  </r>
  <r>
    <s v="Owass"/>
    <s v="Opoku Ware Senior High School"/>
    <x v="1"/>
    <x v="0"/>
    <x v="3"/>
    <n v="52"/>
    <n v="1"/>
    <x v="4"/>
    <s v="2019_0.125_Owass"/>
    <s v="Preliminary"/>
    <n v="1"/>
    <s v="Middle Belt"/>
    <n v="0.125"/>
  </r>
  <r>
    <s v="KASS"/>
    <s v="Anglican Senior High School, Kumasi"/>
    <x v="1"/>
    <x v="1"/>
    <x v="3"/>
    <n v="51"/>
    <n v="2"/>
    <x v="4"/>
    <s v="2019_0.125_Owass"/>
    <s v="Preliminary"/>
    <n v="0"/>
    <s v="Middle Belt"/>
    <n v="6.25E-2"/>
  </r>
  <r>
    <s v="OKESS"/>
    <s v="Osei Kyeretwie Senior High School"/>
    <x v="1"/>
    <x v="1"/>
    <x v="3"/>
    <n v="37"/>
    <n v="3"/>
    <x v="4"/>
    <s v="2019_0.125_Owass"/>
    <s v="Preliminary"/>
    <n v="0"/>
    <s v="Middle Belt"/>
    <n v="4.1666666666666664E-2"/>
  </r>
  <r>
    <s v="Unipra"/>
    <s v="University Practice Senior High School"/>
    <x v="2"/>
    <x v="1"/>
    <x v="3"/>
    <n v="37"/>
    <n v="1"/>
    <x v="4"/>
    <s v="2019_0.125_Unipra"/>
    <s v="Preliminary"/>
    <n v="1"/>
    <s v="Coastal"/>
    <n v="0.125"/>
  </r>
  <r>
    <s v="Asamankese SHS"/>
    <s v="Asamankese Senior High School"/>
    <x v="4"/>
    <x v="1"/>
    <x v="3"/>
    <n v="33"/>
    <n v="2"/>
    <x v="4"/>
    <s v="2019_0.125_Unipra"/>
    <s v="Preliminary"/>
    <n v="0"/>
    <s v="Middle Belt"/>
    <n v="6.25E-2"/>
  </r>
  <r>
    <s v="Bolgatanga Girls"/>
    <s v="Bolgatanga Girls Senior High School"/>
    <x v="10"/>
    <x v="2"/>
    <x v="3"/>
    <n v="19"/>
    <n v="3"/>
    <x v="4"/>
    <s v="2019_0.125_Unipra"/>
    <s v="Preliminary"/>
    <n v="0"/>
    <s v="Northern"/>
    <n v="4.1666666666666664E-2"/>
  </r>
  <r>
    <s v="St. Ignatius of Loyola"/>
    <s v="St. Ignatius of Loyola Senior High School"/>
    <x v="8"/>
    <x v="1"/>
    <x v="3"/>
    <n v="26"/>
    <n v="1"/>
    <x v="4"/>
    <s v="2019_0.125_St. Ignatius of Loyola"/>
    <s v="Preliminary"/>
    <n v="1"/>
    <s v="Northern"/>
    <n v="0.125"/>
  </r>
  <r>
    <s v="Kumasi sectec"/>
    <s v="Kumasi Senior High Technical School"/>
    <x v="1"/>
    <x v="1"/>
    <x v="3"/>
    <n v="22"/>
    <n v="2"/>
    <x v="4"/>
    <s v="2019_0.125_St. Ignatius of Loyola"/>
    <s v="Preliminary"/>
    <n v="0"/>
    <s v="Middle Belt"/>
    <n v="6.25E-2"/>
  </r>
  <r>
    <s v="Berekum SHS"/>
    <s v="Berekum Senior High School"/>
    <x v="6"/>
    <x v="1"/>
    <x v="3"/>
    <n v="15"/>
    <n v="3"/>
    <x v="4"/>
    <s v="2019_0.125_St. Ignatius of Loyola"/>
    <s v="Preliminary"/>
    <n v="0"/>
    <s v="Middle Belt"/>
    <n v="4.1666666666666664E-2"/>
  </r>
  <r>
    <s v="Tepa"/>
    <s v="Tepa Senior High School"/>
    <x v="1"/>
    <x v="1"/>
    <x v="3"/>
    <n v="40"/>
    <n v="1"/>
    <x v="4"/>
    <s v="2019_0.125_Tepa"/>
    <s v="Preliminary"/>
    <n v="1"/>
    <s v="Middle Belt"/>
    <n v="0.125"/>
  </r>
  <r>
    <s v="Islamic SHS Kumasi"/>
    <s v="Islamic Senior High School, Kumasi"/>
    <x v="1"/>
    <x v="1"/>
    <x v="3"/>
    <n v="22"/>
    <n v="2"/>
    <x v="4"/>
    <s v="2019_0.125_Tepa"/>
    <s v="Preliminary"/>
    <n v="0"/>
    <s v="Middle Belt"/>
    <n v="6.25E-2"/>
  </r>
  <r>
    <s v="Awudome SHS"/>
    <s v="Awudome Senior High School"/>
    <x v="3"/>
    <x v="1"/>
    <x v="3"/>
    <n v="19"/>
    <n v="3"/>
    <x v="4"/>
    <s v="2019_0.125_Tepa"/>
    <s v="Preliminary"/>
    <n v="0"/>
    <s v="Coastal"/>
    <n v="4.1666666666666664E-2"/>
  </r>
  <r>
    <s v="St Johns Grammar"/>
    <s v="St Johns Grammar Senior High School"/>
    <x v="0"/>
    <x v="1"/>
    <x v="3"/>
    <n v="35"/>
    <n v="1"/>
    <x v="4"/>
    <s v="2019_0.125_St Johns Grammar"/>
    <s v="Preliminary"/>
    <n v="1"/>
    <s v="Coastal"/>
    <n v="0.125"/>
  </r>
  <r>
    <s v="Biheco"/>
    <s v="Bishop Herman College"/>
    <x v="3"/>
    <x v="0"/>
    <x v="3"/>
    <n v="29"/>
    <n v="2"/>
    <x v="4"/>
    <s v="2019_0.125_St Johns Grammar"/>
    <s v="Preliminary"/>
    <n v="0"/>
    <s v="Coastal"/>
    <n v="6.25E-2"/>
  </r>
  <r>
    <s v="Ghana National"/>
    <s v="Ghana National College"/>
    <x v="2"/>
    <x v="1"/>
    <x v="3"/>
    <n v="21"/>
    <n v="3"/>
    <x v="4"/>
    <s v="2019_0.125_St Johns Grammar"/>
    <s v="Preliminary"/>
    <n v="0"/>
    <s v="Coastal"/>
    <n v="4.1666666666666664E-2"/>
  </r>
  <r>
    <s v="Accra Aca"/>
    <s v="Accra Academy"/>
    <x v="0"/>
    <x v="0"/>
    <x v="3"/>
    <n v="34"/>
    <n v="1"/>
    <x v="4"/>
    <s v="2019_0.125_Accra Aca"/>
    <s v="Preliminary"/>
    <n v="1"/>
    <s v="Coastal"/>
    <n v="1"/>
  </r>
  <r>
    <s v="Abusco"/>
    <s v="Abuakwa State College"/>
    <x v="4"/>
    <x v="1"/>
    <x v="3"/>
    <n v="27"/>
    <n v="2"/>
    <x v="4"/>
    <s v="2019_0.125_Accra Aca"/>
    <s v="Preliminary"/>
    <n v="0"/>
    <s v="Middle Belt"/>
    <n v="0.5"/>
  </r>
  <r>
    <s v="TI Amass Fomena"/>
    <s v="TI Ahmadiyya Senior High School, Fomena"/>
    <x v="1"/>
    <x v="1"/>
    <x v="3"/>
    <n v="27"/>
    <n v="3"/>
    <x v="4"/>
    <s v="2019_0.125_Accra Aca"/>
    <s v="Preliminary"/>
    <n v="0"/>
    <s v="Middle Belt"/>
    <n v="0.33333333333333331"/>
  </r>
  <r>
    <s v="Persco"/>
    <s v="St. Peter's Senior High School"/>
    <x v="4"/>
    <x v="0"/>
    <x v="0"/>
    <n v="45"/>
    <n v="1"/>
    <x v="5"/>
    <s v="2018_1.0_Persco"/>
    <s v="Final"/>
    <n v="1"/>
    <s v="Middle Belt"/>
    <n v="0.5"/>
  </r>
  <r>
    <s v="WASS"/>
    <s v="West Africa Senior High School"/>
    <x v="0"/>
    <x v="1"/>
    <x v="0"/>
    <n v="44"/>
    <n v="2"/>
    <x v="5"/>
    <s v="2018_1.0_Persco"/>
    <s v="Final"/>
    <n v="0"/>
    <s v="Coastal"/>
    <n v="0.25"/>
  </r>
  <r>
    <s v="Adisco"/>
    <s v="Adisadel College"/>
    <x v="2"/>
    <x v="0"/>
    <x v="0"/>
    <n v="39"/>
    <n v="3"/>
    <x v="5"/>
    <s v="2018_1.0_Persco"/>
    <s v="Final"/>
    <n v="0"/>
    <s v="Coastal"/>
    <n v="0.16666666666666666"/>
  </r>
  <r>
    <s v="Persco"/>
    <s v="St. Peter's Senior High School"/>
    <x v="4"/>
    <x v="0"/>
    <x v="1"/>
    <n v="35"/>
    <n v="1"/>
    <x v="5"/>
    <s v="2018_0.5_Persco"/>
    <s v="Semifinal"/>
    <n v="1"/>
    <s v="Middle Belt"/>
    <n v="0.5"/>
  </r>
  <r>
    <s v="Keta"/>
    <s v="Keta Senior High Technical School"/>
    <x v="3"/>
    <x v="1"/>
    <x v="1"/>
    <n v="26"/>
    <n v="2"/>
    <x v="5"/>
    <s v="2018_0.5_Persco"/>
    <s v="Semifinal"/>
    <n v="0"/>
    <s v="Coastal"/>
    <n v="0.25"/>
  </r>
  <r>
    <s v="Mawuli"/>
    <s v="Mawuli School"/>
    <x v="3"/>
    <x v="1"/>
    <x v="1"/>
    <n v="22"/>
    <n v="3"/>
    <x v="5"/>
    <s v="2018_0.5_Persco"/>
    <s v="Semifinal"/>
    <n v="0"/>
    <s v="Coastal"/>
    <n v="0.16666666666666666"/>
  </r>
  <r>
    <s v="WASS"/>
    <s v="West Africa Senior High School"/>
    <x v="0"/>
    <x v="1"/>
    <x v="1"/>
    <n v="52"/>
    <n v="1"/>
    <x v="5"/>
    <s v="2018_0.5_WASS"/>
    <s v="Semifinal"/>
    <n v="1"/>
    <s v="Coastal"/>
    <n v="0.5"/>
  </r>
  <r>
    <s v="Prempeh"/>
    <s v="Prempeh College"/>
    <x v="1"/>
    <x v="0"/>
    <x v="1"/>
    <n v="45"/>
    <n v="2"/>
    <x v="5"/>
    <s v="2018_0.5_WASS"/>
    <s v="Semifinal"/>
    <n v="0"/>
    <s v="Middle Belt"/>
    <n v="0.25"/>
  </r>
  <r>
    <s v="Krogiss"/>
    <s v="Krobo Girls' Senior High School"/>
    <x v="4"/>
    <x v="2"/>
    <x v="1"/>
    <n v="29"/>
    <n v="3"/>
    <x v="5"/>
    <s v="2018_0.5_WASS"/>
    <s v="Semifinal"/>
    <n v="0"/>
    <s v="Middle Belt"/>
    <n v="0.16666666666666666"/>
  </r>
  <r>
    <s v="Adisco"/>
    <s v="Adisadel College"/>
    <x v="2"/>
    <x v="0"/>
    <x v="1"/>
    <n v="48"/>
    <n v="1"/>
    <x v="5"/>
    <s v="2018_0.5_Adisco"/>
    <s v="Semifinal"/>
    <n v="1"/>
    <s v="Coastal"/>
    <n v="0.25"/>
  </r>
  <r>
    <s v="Mfantsipim"/>
    <s v="Mfantsipim School"/>
    <x v="2"/>
    <x v="0"/>
    <x v="1"/>
    <n v="44"/>
    <n v="2"/>
    <x v="5"/>
    <s v="2018_0.5_Adisco"/>
    <s v="Semifinal"/>
    <n v="0"/>
    <s v="Coastal"/>
    <n v="0.125"/>
  </r>
  <r>
    <s v="Ghana National"/>
    <s v="Ghana National College"/>
    <x v="2"/>
    <x v="1"/>
    <x v="1"/>
    <n v="26"/>
    <n v="3"/>
    <x v="5"/>
    <s v="2018_0.5_Adisco"/>
    <s v="Semifinal"/>
    <n v="0"/>
    <s v="Coastal"/>
    <n v="8.3333333333333329E-2"/>
  </r>
  <r>
    <s v="Persco"/>
    <s v="St. Peter's Senior High School"/>
    <x v="4"/>
    <x v="0"/>
    <x v="2"/>
    <n v="63"/>
    <n v="1"/>
    <x v="5"/>
    <s v="2018_0.25_Persco"/>
    <s v="Quarterfinal"/>
    <n v="1"/>
    <s v="Middle Belt"/>
    <n v="0.25"/>
  </r>
  <r>
    <s v="Wegehey"/>
    <s v="Wesley Girls' Senior High School"/>
    <x v="2"/>
    <x v="2"/>
    <x v="2"/>
    <n v="36"/>
    <n v="2"/>
    <x v="5"/>
    <s v="2018_0.25_Persco"/>
    <s v="Quarterfinal"/>
    <n v="0"/>
    <s v="Coastal"/>
    <n v="0.125"/>
  </r>
  <r>
    <s v="Aquinas"/>
    <s v="St. Thomas Aquinas Senior High School"/>
    <x v="0"/>
    <x v="0"/>
    <x v="2"/>
    <n v="28"/>
    <n v="3"/>
    <x v="5"/>
    <s v="2018_0.25_Persco"/>
    <s v="Quarterfinal"/>
    <n v="0"/>
    <s v="Coastal"/>
    <n v="8.3333333333333329E-2"/>
  </r>
  <r>
    <s v="Keta"/>
    <s v="Keta Senior High Technical School"/>
    <x v="3"/>
    <x v="1"/>
    <x v="2"/>
    <n v="32"/>
    <n v="1"/>
    <x v="5"/>
    <s v="2018_0.25_Keta"/>
    <s v="Quarterfinal"/>
    <n v="1"/>
    <s v="Coastal"/>
    <n v="0.25"/>
  </r>
  <r>
    <s v="Porters"/>
    <s v="Archbishop Porter Girls' Senior High School"/>
    <x v="5"/>
    <x v="2"/>
    <x v="2"/>
    <n v="28"/>
    <n v="2"/>
    <x v="5"/>
    <s v="2018_0.25_Keta"/>
    <s v="Quarterfinal"/>
    <n v="0"/>
    <s v="Coastal"/>
    <n v="0.125"/>
  </r>
  <r>
    <s v="Koforidua Sec Tech"/>
    <s v="Koforidua Sec Tech Senior High School"/>
    <x v="4"/>
    <x v="0"/>
    <x v="2"/>
    <n v="23"/>
    <n v="3"/>
    <x v="5"/>
    <s v="2018_0.25_Keta"/>
    <s v="Quarterfinal"/>
    <n v="0"/>
    <s v="Middle Belt"/>
    <n v="8.3333333333333329E-2"/>
  </r>
  <r>
    <s v="Mawuli"/>
    <s v="Mawuli School"/>
    <x v="3"/>
    <x v="1"/>
    <x v="2"/>
    <n v="47"/>
    <n v="1"/>
    <x v="5"/>
    <s v="2018_0.25_Mawuli"/>
    <s v="Quarterfinal"/>
    <n v="1"/>
    <s v="Coastal"/>
    <n v="0.25"/>
  </r>
  <r>
    <s v="Owass"/>
    <s v="Opoku Ware Senior High School"/>
    <x v="1"/>
    <x v="0"/>
    <x v="2"/>
    <n v="44"/>
    <n v="2"/>
    <x v="5"/>
    <s v="2018_0.25_Mawuli"/>
    <s v="Quarterfinal"/>
    <n v="0"/>
    <s v="Middle Belt"/>
    <n v="0.125"/>
  </r>
  <r>
    <s v="New Juaben SHS"/>
    <s v="New Juaben SHS Senior High School"/>
    <x v="4"/>
    <x v="1"/>
    <x v="2"/>
    <n v="24"/>
    <n v="3"/>
    <x v="5"/>
    <s v="2018_0.25_Mawuli"/>
    <s v="Quarterfinal"/>
    <n v="0"/>
    <s v="Middle Belt"/>
    <n v="8.3333333333333329E-2"/>
  </r>
  <r>
    <s v="WASS"/>
    <s v="West Africa Senior High School"/>
    <x v="0"/>
    <x v="1"/>
    <x v="2"/>
    <n v="59"/>
    <n v="1"/>
    <x v="5"/>
    <s v="2018_0.25_WASS"/>
    <s v="Quarterfinal"/>
    <n v="1"/>
    <s v="Coastal"/>
    <n v="0.25"/>
  </r>
  <r>
    <s v="Tamale SHS"/>
    <s v="Tamale SHS Senior High School"/>
    <x v="7"/>
    <x v="1"/>
    <x v="2"/>
    <n v="43"/>
    <n v="2"/>
    <x v="5"/>
    <s v="2018_0.25_WASS"/>
    <s v="Quarterfinal"/>
    <n v="0"/>
    <s v="Northern"/>
    <n v="0.125"/>
  </r>
  <r>
    <s v="Kumasi sectec"/>
    <s v="Kumasi Senior High Technical School"/>
    <x v="1"/>
    <x v="1"/>
    <x v="2"/>
    <n v="23"/>
    <n v="3"/>
    <x v="5"/>
    <s v="2018_0.25_WASS"/>
    <s v="Quarterfinal"/>
    <n v="0"/>
    <s v="Middle Belt"/>
    <n v="8.3333333333333329E-2"/>
  </r>
  <r>
    <s v="Adisco"/>
    <s v="Adisadel College"/>
    <x v="2"/>
    <x v="0"/>
    <x v="2"/>
    <n v="58"/>
    <n v="1"/>
    <x v="5"/>
    <s v="2018_0.25_Adisco"/>
    <s v="Quarterfinal"/>
    <n v="1"/>
    <s v="Coastal"/>
    <n v="0.25"/>
  </r>
  <r>
    <s v="Sandema SHTS"/>
    <s v="Sandema Senior High Technical School"/>
    <x v="10"/>
    <x v="1"/>
    <x v="2"/>
    <n v="26"/>
    <n v="2"/>
    <x v="5"/>
    <s v="2018_0.25_Adisco"/>
    <s v="Quarterfinal"/>
    <n v="0"/>
    <s v="Northern"/>
    <n v="0.125"/>
  </r>
  <r>
    <s v="St. Louis"/>
    <s v="St. Louis Senior High School"/>
    <x v="1"/>
    <x v="2"/>
    <x v="2"/>
    <n v="26"/>
    <n v="3"/>
    <x v="5"/>
    <s v="2018_0.25_Adisco"/>
    <s v="Quarterfinal"/>
    <n v="0"/>
    <s v="Middle Belt"/>
    <n v="8.3333333333333329E-2"/>
  </r>
  <r>
    <s v="Prempeh"/>
    <s v="Prempeh College"/>
    <x v="1"/>
    <x v="0"/>
    <x v="2"/>
    <n v="67"/>
    <n v="1"/>
    <x v="5"/>
    <s v="2018_0.25_Prempeh"/>
    <s v="Quarterfinal"/>
    <n v="1"/>
    <s v="Middle Belt"/>
    <n v="0.25"/>
  </r>
  <r>
    <s v="Accra Aca"/>
    <s v="Accra Academy"/>
    <x v="0"/>
    <x v="0"/>
    <x v="2"/>
    <n v="26"/>
    <n v="2"/>
    <x v="5"/>
    <s v="2018_0.25_Prempeh"/>
    <s v="Quarterfinal"/>
    <n v="0"/>
    <s v="Coastal"/>
    <n v="0.125"/>
  </r>
  <r>
    <s v="Islamic SHS Kumasi"/>
    <s v="Islamic Senior High School, Kumasi"/>
    <x v="1"/>
    <x v="1"/>
    <x v="2"/>
    <n v="17"/>
    <n v="3"/>
    <x v="5"/>
    <s v="2018_0.25_Prempeh"/>
    <s v="Quarterfinal"/>
    <n v="0"/>
    <s v="Middle Belt"/>
    <n v="8.3333333333333329E-2"/>
  </r>
  <r>
    <s v="Krogiss"/>
    <s v="Krobo Girls' Senior High School"/>
    <x v="4"/>
    <x v="2"/>
    <x v="2"/>
    <n v="34"/>
    <n v="1"/>
    <x v="5"/>
    <s v="2018_0.25_Krogiss"/>
    <s v="Quarterfinal"/>
    <n v="1"/>
    <s v="Middle Belt"/>
    <n v="0.25"/>
  </r>
  <r>
    <s v="Holico"/>
    <s v="Holico Senior High School"/>
    <x v="2"/>
    <x v="2"/>
    <x v="2"/>
    <n v="30"/>
    <n v="2"/>
    <x v="5"/>
    <s v="2018_0.25_Krogiss"/>
    <s v="Quarterfinal"/>
    <n v="0"/>
    <s v="Coastal"/>
    <n v="0.125"/>
  </r>
  <r>
    <s v="St Margaret Mary"/>
    <s v="St Margaret Mary Senior High School"/>
    <x v="0"/>
    <x v="1"/>
    <x v="2"/>
    <n v="21"/>
    <n v="3"/>
    <x v="5"/>
    <s v="2018_0.25_Krogiss"/>
    <s v="Quarterfinal"/>
    <n v="0"/>
    <s v="Coastal"/>
    <n v="8.3333333333333329E-2"/>
  </r>
  <r>
    <s v="Mfantsipim"/>
    <s v="Mfantsipim School"/>
    <x v="2"/>
    <x v="0"/>
    <x v="2"/>
    <n v="50"/>
    <n v="1"/>
    <x v="5"/>
    <s v="2018_0.25_Mfantsipim"/>
    <s v="Quarterfinal"/>
    <n v="1"/>
    <s v="Coastal"/>
    <n v="0.25"/>
  </r>
  <r>
    <s v="Presec Legon"/>
    <s v="Presbyterian Boys' Senior High School"/>
    <x v="0"/>
    <x v="0"/>
    <x v="2"/>
    <n v="34"/>
    <n v="2"/>
    <x v="5"/>
    <s v="2018_0.25_Mfantsipim"/>
    <s v="Quarterfinal"/>
    <n v="0"/>
    <s v="Coastal"/>
    <n v="0.125"/>
  </r>
  <r>
    <s v="KNUST SHS"/>
    <s v="KNUST Senior High School"/>
    <x v="1"/>
    <x v="1"/>
    <x v="2"/>
    <n v="20"/>
    <n v="3"/>
    <x v="5"/>
    <s v="2018_0.25_Mfantsipim"/>
    <s v="Quarterfinal"/>
    <n v="0"/>
    <s v="Middle Belt"/>
    <n v="8.3333333333333329E-2"/>
  </r>
  <r>
    <s v="Ghana National"/>
    <s v="Ghana National College"/>
    <x v="2"/>
    <x v="1"/>
    <x v="2"/>
    <n v="45"/>
    <n v="1"/>
    <x v="5"/>
    <s v="2018_0.25_Ghana National"/>
    <s v="Quarterfinal"/>
    <n v="1"/>
    <s v="Coastal"/>
    <n v="0.125"/>
  </r>
  <r>
    <s v="Aburi Girls"/>
    <s v="Aburi Girls' Senior High School"/>
    <x v="4"/>
    <x v="2"/>
    <x v="2"/>
    <n v="38"/>
    <n v="2"/>
    <x v="5"/>
    <s v="2018_0.25_Ghana National"/>
    <s v="Quarterfinal"/>
    <n v="0"/>
    <s v="Middle Belt"/>
    <n v="6.25E-2"/>
  </r>
  <r>
    <s v="Unipra"/>
    <s v="University Practice Senior High School"/>
    <x v="2"/>
    <x v="1"/>
    <x v="2"/>
    <n v="30"/>
    <n v="3"/>
    <x v="5"/>
    <s v="2018_0.25_Ghana National"/>
    <s v="Quarterfinal"/>
    <n v="0"/>
    <s v="Coastal"/>
    <n v="4.1666666666666664E-2"/>
  </r>
  <r>
    <s v="Persco"/>
    <s v="St. Peter's Senior High School"/>
    <x v="4"/>
    <x v="0"/>
    <x v="3"/>
    <n v="62"/>
    <n v="1"/>
    <x v="5"/>
    <s v="2018_0.125_Persco"/>
    <s v="Preliminary"/>
    <n v="1"/>
    <s v="Middle Belt"/>
    <n v="0.125"/>
  </r>
  <r>
    <s v="Jachie Pramso"/>
    <s v="Jachie-Pramso Senior High School"/>
    <x v="1"/>
    <x v="1"/>
    <x v="3"/>
    <n v="20"/>
    <n v="2"/>
    <x v="5"/>
    <s v="2018_0.125_Persco"/>
    <s v="Preliminary"/>
    <n v="0"/>
    <s v="Middle Belt"/>
    <n v="6.25E-2"/>
  </r>
  <r>
    <s v="Fijai"/>
    <s v="Fijai Senior High School"/>
    <x v="5"/>
    <x v="1"/>
    <x v="3"/>
    <n v="19"/>
    <n v="3"/>
    <x v="5"/>
    <s v="2018_0.125_Persco"/>
    <s v="Preliminary"/>
    <n v="0"/>
    <s v="Coastal"/>
    <n v="4.1666666666666664E-2"/>
  </r>
  <r>
    <s v="Aquinas"/>
    <s v="St. Thomas Aquinas Senior High School"/>
    <x v="0"/>
    <x v="0"/>
    <x v="3"/>
    <n v="44"/>
    <n v="1"/>
    <x v="5"/>
    <s v="2018_0.125_Aquinas"/>
    <s v="Preliminary"/>
    <n v="1"/>
    <s v="Coastal"/>
    <n v="0.125"/>
  </r>
  <r>
    <s v="KASS"/>
    <s v="Anglican Senior High School, Kumasi"/>
    <x v="1"/>
    <x v="1"/>
    <x v="3"/>
    <n v="42"/>
    <n v="2"/>
    <x v="5"/>
    <s v="2018_0.125_Aquinas"/>
    <s v="Preliminary"/>
    <n v="0"/>
    <s v="Middle Belt"/>
    <n v="6.25E-2"/>
  </r>
  <r>
    <s v="Sekondi College"/>
    <s v="Sekondi College Senior High School"/>
    <x v="5"/>
    <x v="1"/>
    <x v="3"/>
    <n v="26"/>
    <n v="3"/>
    <x v="5"/>
    <s v="2018_0.125_Aquinas"/>
    <s v="Preliminary"/>
    <n v="0"/>
    <s v="Coastal"/>
    <n v="4.1666666666666664E-2"/>
  </r>
  <r>
    <s v="Wegehey"/>
    <s v="Wesley Girls' Senior High School"/>
    <x v="2"/>
    <x v="2"/>
    <x v="3"/>
    <n v="45"/>
    <n v="1"/>
    <x v="5"/>
    <s v="2018_0.125_Wegehey"/>
    <s v="Preliminary"/>
    <n v="1"/>
    <s v="Coastal"/>
    <n v="0.125"/>
  </r>
  <r>
    <s v="Winneba SHS"/>
    <s v="Winneba Senior High School"/>
    <x v="2"/>
    <x v="1"/>
    <x v="3"/>
    <n v="37"/>
    <n v="2"/>
    <x v="5"/>
    <s v="2018_0.125_Wegehey"/>
    <s v="Preliminary"/>
    <n v="0"/>
    <s v="Coastal"/>
    <n v="6.25E-2"/>
  </r>
  <r>
    <s v="Twene Amanfo"/>
    <s v="Twene Amanfo Senior High Technical School"/>
    <x v="6"/>
    <x v="1"/>
    <x v="3"/>
    <n v="19"/>
    <n v="3"/>
    <x v="5"/>
    <s v="2018_0.125_Wegehey"/>
    <s v="Preliminary"/>
    <n v="0"/>
    <s v="Middle Belt"/>
    <n v="4.1666666666666664E-2"/>
  </r>
  <r>
    <s v="Keta"/>
    <s v="Keta Senior High Technical School"/>
    <x v="3"/>
    <x v="1"/>
    <x v="3"/>
    <n v="35"/>
    <n v="1"/>
    <x v="5"/>
    <s v="2018_0.125_Keta"/>
    <s v="Preliminary"/>
    <n v="1"/>
    <s v="Coastal"/>
    <n v="0.125"/>
  </r>
  <r>
    <s v="Adonten"/>
    <s v="Adonten Senior High School"/>
    <x v="4"/>
    <x v="1"/>
    <x v="3"/>
    <n v="33"/>
    <n v="2"/>
    <x v="5"/>
    <s v="2018_0.125_Keta"/>
    <s v="Preliminary"/>
    <n v="0"/>
    <s v="Middle Belt"/>
    <n v="6.25E-2"/>
  </r>
  <r>
    <s v="Berekum SHS"/>
    <s v="Berekum Senior High School"/>
    <x v="6"/>
    <x v="1"/>
    <x v="3"/>
    <n v="29"/>
    <n v="3"/>
    <x v="5"/>
    <s v="2018_0.125_Keta"/>
    <s v="Preliminary"/>
    <n v="0"/>
    <s v="Middle Belt"/>
    <n v="4.1666666666666664E-2"/>
  </r>
  <r>
    <s v="Porters"/>
    <s v="Archbishop Porter Girls' Senior High School"/>
    <x v="5"/>
    <x v="2"/>
    <x v="3"/>
    <n v="35"/>
    <n v="1"/>
    <x v="5"/>
    <s v="2018_0.125_Porters"/>
    <s v="Preliminary"/>
    <n v="1"/>
    <s v="Coastal"/>
    <n v="0.125"/>
  </r>
  <r>
    <s v="Edinaman SHS"/>
    <s v="Edinaman Senior High School"/>
    <x v="2"/>
    <x v="1"/>
    <x v="3"/>
    <n v="27"/>
    <n v="2"/>
    <x v="5"/>
    <s v="2018_0.125_Porters"/>
    <s v="Preliminary"/>
    <n v="0"/>
    <s v="Coastal"/>
    <n v="6.25E-2"/>
  </r>
  <r>
    <s v="Ghana SHS Koforidua"/>
    <s v="Ghana Senior High School, Koforidua"/>
    <x v="4"/>
    <x v="1"/>
    <x v="3"/>
    <n v="13"/>
    <n v="3"/>
    <x v="5"/>
    <s v="2018_0.125_Porters"/>
    <s v="Preliminary"/>
    <n v="0"/>
    <s v="Middle Belt"/>
    <n v="4.1666666666666664E-2"/>
  </r>
  <r>
    <s v="Koforidua Sec Tech"/>
    <s v="Koforidua Sec Tech Senior High School"/>
    <x v="4"/>
    <x v="0"/>
    <x v="3"/>
    <n v="39"/>
    <n v="1"/>
    <x v="5"/>
    <s v="2018_0.125_Koforidua Sec Tech"/>
    <s v="Preliminary"/>
    <n v="1"/>
    <s v="Middle Belt"/>
    <n v="0.125"/>
  </r>
  <r>
    <s v="PJ"/>
    <s v="Pope John Senior High School and Minor Seminary"/>
    <x v="4"/>
    <x v="0"/>
    <x v="3"/>
    <n v="31"/>
    <n v="2"/>
    <x v="5"/>
    <s v="2018_0.125_Koforidua Sec Tech"/>
    <s v="Preliminary"/>
    <n v="0"/>
    <s v="Middle Belt"/>
    <n v="6.25E-2"/>
  </r>
  <r>
    <s v="TI Amass Fomena"/>
    <s v="TI Ahmadiyya Senior High School, Fomena"/>
    <x v="1"/>
    <x v="1"/>
    <x v="3"/>
    <n v="25"/>
    <n v="3"/>
    <x v="5"/>
    <s v="2018_0.125_Koforidua Sec Tech"/>
    <s v="Preliminary"/>
    <n v="0"/>
    <s v="Middle Belt"/>
    <n v="4.1666666666666664E-2"/>
  </r>
  <r>
    <s v="Mawuli"/>
    <s v="Mawuli School"/>
    <x v="3"/>
    <x v="1"/>
    <x v="3"/>
    <n v="44"/>
    <n v="1"/>
    <x v="5"/>
    <s v="2018_0.125_Mawuli"/>
    <s v="Preliminary"/>
    <n v="1"/>
    <s v="Coastal"/>
    <n v="0.125"/>
  </r>
  <r>
    <s v="Academy of Christ the King"/>
    <s v="Academy of Christ the King"/>
    <x v="2"/>
    <x v="1"/>
    <x v="3"/>
    <n v="23"/>
    <n v="2"/>
    <x v="5"/>
    <s v="2018_0.125_Mawuli"/>
    <s v="Preliminary"/>
    <n v="0"/>
    <s v="Coastal"/>
    <n v="6.25E-2"/>
  </r>
  <r>
    <s v="Biheco"/>
    <s v="Bishop Herman College"/>
    <x v="3"/>
    <x v="0"/>
    <x v="3"/>
    <n v="20"/>
    <n v="3"/>
    <x v="5"/>
    <s v="2018_0.125_Mawuli"/>
    <s v="Preliminary"/>
    <n v="0"/>
    <s v="Coastal"/>
    <n v="4.1666666666666664E-2"/>
  </r>
  <r>
    <s v="Owass"/>
    <s v="Opoku Ware Senior High School"/>
    <x v="1"/>
    <x v="0"/>
    <x v="3"/>
    <n v="61"/>
    <n v="1"/>
    <x v="5"/>
    <s v="2018_0.125_Owass"/>
    <s v="Preliminary"/>
    <n v="1"/>
    <s v="Middle Belt"/>
    <n v="0.125"/>
  </r>
  <r>
    <s v="GSTS"/>
    <s v="Ghana Secondary Technical School"/>
    <x v="5"/>
    <x v="0"/>
    <x v="3"/>
    <n v="33"/>
    <n v="2"/>
    <x v="5"/>
    <s v="2018_0.125_Owass"/>
    <s v="Preliminary"/>
    <n v="0"/>
    <s v="Coastal"/>
    <n v="6.25E-2"/>
  </r>
  <r>
    <s v="Our Lady of Mt. Carmel Girls"/>
    <s v="Our Lady of Mt. Carmel Girls Senior High School"/>
    <x v="9"/>
    <x v="2"/>
    <x v="3"/>
    <n v="30"/>
    <n v="3"/>
    <x v="5"/>
    <s v="2018_0.125_Owass"/>
    <s v="Preliminary"/>
    <n v="0"/>
    <s v="Middle Belt"/>
    <n v="4.1666666666666664E-2"/>
  </r>
  <r>
    <s v="New Juaben SHS"/>
    <s v="New Juaben SHS Senior High School"/>
    <x v="4"/>
    <x v="1"/>
    <x v="3"/>
    <n v="25"/>
    <n v="1"/>
    <x v="5"/>
    <s v="2018_0.125_New Juaben SHS"/>
    <s v="Preliminary"/>
    <n v="1"/>
    <s v="Middle Belt"/>
    <n v="0.125"/>
  </r>
  <r>
    <s v="Tweneboa Kodua"/>
    <s v="Tweneboa Kodua Senior High School"/>
    <x v="1"/>
    <x v="1"/>
    <x v="3"/>
    <n v="20"/>
    <n v="2"/>
    <x v="5"/>
    <s v="2018_0.125_New Juaben SHS"/>
    <s v="Preliminary"/>
    <n v="0"/>
    <s v="Middle Belt"/>
    <n v="6.25E-2"/>
  </r>
  <r>
    <s v="Ghanata"/>
    <s v="Ghanata Senior High School"/>
    <x v="0"/>
    <x v="1"/>
    <x v="3"/>
    <n v="17"/>
    <n v="3"/>
    <x v="5"/>
    <s v="2018_0.125_New Juaben SHS"/>
    <s v="Preliminary"/>
    <n v="0"/>
    <s v="Coastal"/>
    <n v="4.1666666666666664E-2"/>
  </r>
  <r>
    <s v="WASS"/>
    <s v="West Africa Senior High School"/>
    <x v="0"/>
    <x v="1"/>
    <x v="3"/>
    <n v="62"/>
    <n v="1"/>
    <x v="5"/>
    <s v="2018_0.125_WASS"/>
    <s v="Preliminary"/>
    <n v="1"/>
    <s v="Coastal"/>
    <n v="0.125"/>
  </r>
  <r>
    <s v="KOSS"/>
    <s v="Konongo Odumase Senior High School"/>
    <x v="1"/>
    <x v="1"/>
    <x v="3"/>
    <n v="55"/>
    <n v="2"/>
    <x v="5"/>
    <s v="2018_0.125_WASS"/>
    <s v="Preliminary"/>
    <n v="0"/>
    <s v="Middle Belt"/>
    <n v="6.25E-2"/>
  </r>
  <r>
    <s v="Kadjebi Asato"/>
    <s v="Kadjebi Asato Senior High School"/>
    <x v="12"/>
    <x v="1"/>
    <x v="3"/>
    <n v="23"/>
    <n v="3"/>
    <x v="5"/>
    <s v="2018_0.125_WASS"/>
    <s v="Preliminary"/>
    <n v="0"/>
    <s v="Middle Belt"/>
    <n v="4.1666666666666664E-2"/>
  </r>
  <r>
    <s v="Tamale SHS"/>
    <s v="Tamale SHS Senior High School"/>
    <x v="7"/>
    <x v="1"/>
    <x v="3"/>
    <n v="48"/>
    <n v="1"/>
    <x v="5"/>
    <s v="2018_0.125_Tamale SHS"/>
    <s v="Preliminary"/>
    <n v="1"/>
    <s v="Northern"/>
    <n v="0.125"/>
  </r>
  <r>
    <s v="Achimota"/>
    <s v="Achimota School"/>
    <x v="0"/>
    <x v="1"/>
    <x v="3"/>
    <n v="45"/>
    <n v="2"/>
    <x v="5"/>
    <s v="2018_0.125_Tamale SHS"/>
    <s v="Preliminary"/>
    <n v="0"/>
    <s v="Coastal"/>
    <n v="6.25E-2"/>
  </r>
  <r>
    <s v="Apam"/>
    <s v="Apam Senior High School"/>
    <x v="2"/>
    <x v="1"/>
    <x v="3"/>
    <n v="35"/>
    <n v="3"/>
    <x v="5"/>
    <s v="2018_0.125_Tamale SHS"/>
    <s v="Preliminary"/>
    <n v="0"/>
    <s v="Coastal"/>
    <n v="4.1666666666666664E-2"/>
  </r>
  <r>
    <s v="Kumasi sectec"/>
    <s v="Kumasi Senior High Technical School"/>
    <x v="1"/>
    <x v="1"/>
    <x v="3"/>
    <n v="40"/>
    <n v="1"/>
    <x v="5"/>
    <s v="2018_0.125_Kumasi sectec"/>
    <s v="Preliminary"/>
    <n v="1"/>
    <s v="Middle Belt"/>
    <n v="0.125"/>
  </r>
  <r>
    <s v="Sonrise"/>
    <s v="Sonrise Christian High School"/>
    <x v="3"/>
    <x v="1"/>
    <x v="3"/>
    <n v="34"/>
    <n v="2"/>
    <x v="5"/>
    <s v="2018_0.125_Kumasi sectec"/>
    <s v="Preliminary"/>
    <n v="0"/>
    <s v="Coastal"/>
    <n v="6.25E-2"/>
  </r>
  <r>
    <s v="Aggrey Memorial Zion SHS"/>
    <s v="Aggrey Memorial AME Zion Senior High"/>
    <x v="2"/>
    <x v="1"/>
    <x v="3"/>
    <n v="25"/>
    <n v="3"/>
    <x v="5"/>
    <s v="2018_0.125_Kumasi sectec"/>
    <s v="Preliminary"/>
    <n v="0"/>
    <s v="Coastal"/>
    <n v="4.1666666666666664E-2"/>
  </r>
  <r>
    <s v="KNUST SHS"/>
    <s v="KNUST Senior High School"/>
    <x v="1"/>
    <x v="1"/>
    <x v="3"/>
    <n v="40"/>
    <n v="1"/>
    <x v="5"/>
    <s v="2018_0.125_KNUST SHS"/>
    <s v="Preliminary"/>
    <n v="1"/>
    <s v="Middle Belt"/>
    <n v="0.125"/>
  </r>
  <r>
    <s v="Sunyani SHS"/>
    <s v="Sunyani Senior High School"/>
    <x v="6"/>
    <x v="1"/>
    <x v="3"/>
    <n v="39"/>
    <n v="2"/>
    <x v="5"/>
    <s v="2018_0.125_KNUST SHS"/>
    <s v="Preliminary"/>
    <n v="0"/>
    <s v="Middle Belt"/>
    <n v="6.25E-2"/>
  </r>
  <r>
    <s v="Ada SHS"/>
    <s v="Ada Senior High School"/>
    <x v="0"/>
    <x v="1"/>
    <x v="3"/>
    <n v="38"/>
    <n v="3"/>
    <x v="5"/>
    <s v="2018_0.125_KNUST SHS"/>
    <s v="Preliminary"/>
    <n v="0"/>
    <s v="Coastal"/>
    <n v="4.1666666666666664E-2"/>
  </r>
  <r>
    <s v="Mfantsipim"/>
    <s v="Mfantsipim School"/>
    <x v="2"/>
    <x v="0"/>
    <x v="3"/>
    <n v="60"/>
    <n v="1"/>
    <x v="5"/>
    <s v="2018_0.125_Mfantsipim"/>
    <s v="Preliminary"/>
    <n v="1"/>
    <s v="Coastal"/>
    <n v="0.125"/>
  </r>
  <r>
    <s v="Nandom"/>
    <s v="Nandom Senior High School"/>
    <x v="8"/>
    <x v="0"/>
    <x v="3"/>
    <n v="13"/>
    <n v="2"/>
    <x v="5"/>
    <s v="2018_0.125_Mfantsipim"/>
    <s v="Preliminary"/>
    <n v="0"/>
    <s v="Northern"/>
    <n v="6.25E-2"/>
  </r>
  <r>
    <s v="Bolgatanga Girls"/>
    <s v="Bolgatanga Girls Senior High School"/>
    <x v="10"/>
    <x v="2"/>
    <x v="3"/>
    <n v="3"/>
    <n v="3"/>
    <x v="5"/>
    <s v="2018_0.125_Mfantsipim"/>
    <s v="Preliminary"/>
    <n v="0"/>
    <s v="Northern"/>
    <n v="4.1666666666666664E-2"/>
  </r>
  <r>
    <s v="Presec Legon"/>
    <s v="Presbyterian Boys' Senior High School"/>
    <x v="0"/>
    <x v="0"/>
    <x v="3"/>
    <n v="53"/>
    <n v="1"/>
    <x v="5"/>
    <s v="2018_0.125_Presec Legon"/>
    <s v="Preliminary"/>
    <n v="1"/>
    <s v="Coastal"/>
    <n v="0.125"/>
  </r>
  <r>
    <s v="YASS"/>
    <s v="Yaa Asantewaa Girls' Senior High School"/>
    <x v="1"/>
    <x v="2"/>
    <x v="3"/>
    <n v="22"/>
    <n v="2"/>
    <x v="5"/>
    <s v="2018_0.125_Presec Legon"/>
    <s v="Preliminary"/>
    <n v="0"/>
    <s v="Middle Belt"/>
    <n v="6.25E-2"/>
  </r>
  <r>
    <s v="Presec Nkwatia"/>
    <s v="Nkwatia Presbyterian Senior High School"/>
    <x v="4"/>
    <x v="1"/>
    <x v="3"/>
    <n v="10"/>
    <n v="3"/>
    <x v="5"/>
    <s v="2018_0.125_Presec Legon"/>
    <s v="Preliminary"/>
    <n v="0"/>
    <s v="Middle Belt"/>
    <n v="4.1666666666666664E-2"/>
  </r>
  <r>
    <s v="Adisco"/>
    <s v="Adisadel College"/>
    <x v="2"/>
    <x v="0"/>
    <x v="3"/>
    <n v="47"/>
    <n v="1"/>
    <x v="5"/>
    <s v="2018_0.125_Adisco"/>
    <s v="Preliminary"/>
    <n v="1"/>
    <s v="Coastal"/>
    <n v="0.125"/>
  </r>
  <r>
    <s v="Osei Tutu"/>
    <s v="Osei Tutu Senior High School"/>
    <x v="1"/>
    <x v="0"/>
    <x v="3"/>
    <n v="37"/>
    <n v="2"/>
    <x v="5"/>
    <s v="2018_0.125_Adisco"/>
    <s v="Preliminary"/>
    <n v="0"/>
    <s v="Middle Belt"/>
    <n v="6.25E-2"/>
  </r>
  <r>
    <s v="Ola SHS"/>
    <s v="OLA Girls' Senior High School"/>
    <x v="3"/>
    <x v="2"/>
    <x v="3"/>
    <n v="22"/>
    <n v="3"/>
    <x v="5"/>
    <s v="2018_0.125_Adisco"/>
    <s v="Preliminary"/>
    <n v="0"/>
    <s v="Coastal"/>
    <n v="4.1666666666666664E-2"/>
  </r>
  <r>
    <s v="Sandema SHTS"/>
    <s v="Sandema Senior High Technical School"/>
    <x v="10"/>
    <x v="1"/>
    <x v="3"/>
    <n v="40"/>
    <n v="1"/>
    <x v="5"/>
    <s v="2018_0.125_Sandema SHTS"/>
    <s v="Preliminary"/>
    <n v="1"/>
    <s v="Northern"/>
    <n v="0.125"/>
  </r>
  <r>
    <s v="St Johns Grammar"/>
    <s v="St Johns Grammar Senior High School"/>
    <x v="0"/>
    <x v="1"/>
    <x v="3"/>
    <n v="36"/>
    <n v="2"/>
    <x v="5"/>
    <s v="2018_0.125_Sandema SHTS"/>
    <s v="Preliminary"/>
    <n v="0"/>
    <s v="Coastal"/>
    <n v="6.25E-2"/>
  </r>
  <r>
    <s v="Anlo SHS"/>
    <s v="Anlo Senior High School"/>
    <x v="3"/>
    <x v="1"/>
    <x v="3"/>
    <n v="19"/>
    <n v="3"/>
    <x v="5"/>
    <s v="2018_0.125_Sandema SHTS"/>
    <s v="Preliminary"/>
    <n v="0"/>
    <s v="Coastal"/>
    <n v="4.1666666666666664E-2"/>
  </r>
  <r>
    <s v="St. Louis"/>
    <s v="St. Louis Senior High School"/>
    <x v="1"/>
    <x v="2"/>
    <x v="3"/>
    <n v="43"/>
    <n v="1"/>
    <x v="5"/>
    <s v="2018_0.125_St. Louis"/>
    <s v="Preliminary"/>
    <n v="1"/>
    <s v="Middle Belt"/>
    <n v="0.125"/>
  </r>
  <r>
    <s v="Kuhis"/>
    <s v="Kumasi High School"/>
    <x v="1"/>
    <x v="0"/>
    <x v="3"/>
    <n v="40"/>
    <n v="2"/>
    <x v="5"/>
    <s v="2018_0.125_St. Louis"/>
    <s v="Preliminary"/>
    <n v="0"/>
    <s v="Middle Belt"/>
    <n v="6.25E-2"/>
  </r>
  <r>
    <s v="Armed Forces"/>
    <s v="Armed Forces Senior High Technical School"/>
    <x v="1"/>
    <x v="1"/>
    <x v="3"/>
    <n v="21"/>
    <n v="3"/>
    <x v="5"/>
    <s v="2018_0.125_St. Louis"/>
    <s v="Preliminary"/>
    <n v="0"/>
    <s v="Middle Belt"/>
    <n v="4.1666666666666664E-2"/>
  </r>
  <r>
    <s v="Prempeh"/>
    <s v="Prempeh College"/>
    <x v="1"/>
    <x v="0"/>
    <x v="3"/>
    <n v="62"/>
    <n v="1"/>
    <x v="5"/>
    <s v="2018_0.125_Prempeh"/>
    <s v="Preliminary"/>
    <n v="1"/>
    <s v="Middle Belt"/>
    <n v="0.125"/>
  </r>
  <r>
    <s v="Xavier"/>
    <s v="St Francis Xavier Mnior Seminary"/>
    <x v="8"/>
    <x v="0"/>
    <x v="3"/>
    <n v="29"/>
    <n v="2"/>
    <x v="5"/>
    <s v="2018_0.125_Prempeh"/>
    <s v="Preliminary"/>
    <n v="0"/>
    <s v="Northern"/>
    <n v="6.25E-2"/>
  </r>
  <r>
    <s v="Saviour Shs"/>
    <s v="Saviour Senior High School, Osiem"/>
    <x v="4"/>
    <x v="1"/>
    <x v="3"/>
    <n v="18"/>
    <n v="3"/>
    <x v="5"/>
    <s v="2018_0.125_Prempeh"/>
    <s v="Preliminary"/>
    <n v="0"/>
    <s v="Middle Belt"/>
    <n v="4.1666666666666664E-2"/>
  </r>
  <r>
    <s v="Accra Aca"/>
    <s v="Accra Academy"/>
    <x v="0"/>
    <x v="0"/>
    <x v="3"/>
    <n v="37"/>
    <n v="1"/>
    <x v="5"/>
    <s v="2018_0.125_Accra Aca"/>
    <s v="Preliminary"/>
    <n v="1"/>
    <s v="Coastal"/>
    <n v="0.125"/>
  </r>
  <r>
    <s v="Awudome SHS"/>
    <s v="Awudome Senior High School"/>
    <x v="3"/>
    <x v="1"/>
    <x v="3"/>
    <n v="27"/>
    <n v="2"/>
    <x v="5"/>
    <s v="2018_0.125_Accra Aca"/>
    <s v="Preliminary"/>
    <n v="0"/>
    <s v="Coastal"/>
    <n v="6.25E-2"/>
  </r>
  <r>
    <s v="St Hubert"/>
    <s v="St. Hubert Seminary Senior High School"/>
    <x v="1"/>
    <x v="0"/>
    <x v="3"/>
    <n v="17"/>
    <n v="3"/>
    <x v="5"/>
    <s v="2018_0.125_Accra Aca"/>
    <s v="Preliminary"/>
    <n v="0"/>
    <s v="Middle Belt"/>
    <n v="4.1666666666666664E-2"/>
  </r>
  <r>
    <s v="Islamic SHS Kumasi"/>
    <s v="Islamic Senior High School, Kumasi"/>
    <x v="1"/>
    <x v="1"/>
    <x v="3"/>
    <n v="32"/>
    <n v="1"/>
    <x v="5"/>
    <s v="2018_0.125_Islamic SHS Kumasi"/>
    <s v="Preliminary"/>
    <n v="1"/>
    <s v="Middle Belt"/>
    <n v="0.125"/>
  </r>
  <r>
    <s v="St Mary's Boys'"/>
    <s v="St Mary's Boys' Senior High School"/>
    <x v="5"/>
    <x v="0"/>
    <x v="3"/>
    <n v="20"/>
    <n v="2"/>
    <x v="5"/>
    <s v="2018_0.125_Islamic SHS Kumasi"/>
    <s v="Preliminary"/>
    <n v="0"/>
    <s v="Coastal"/>
    <n v="6.25E-2"/>
  </r>
  <r>
    <s v="Aduman SHS"/>
    <s v="Aduman Senior High School"/>
    <x v="1"/>
    <x v="1"/>
    <x v="3"/>
    <n v="6"/>
    <n v="3"/>
    <x v="5"/>
    <s v="2018_0.125_Islamic SHS Kumasi"/>
    <s v="Preliminary"/>
    <n v="0"/>
    <s v="Middle Belt"/>
    <n v="4.1666666666666664E-2"/>
  </r>
  <r>
    <s v="Krogiss"/>
    <s v="Krobo Girls' Senior High School"/>
    <x v="4"/>
    <x v="2"/>
    <x v="3"/>
    <n v="46"/>
    <n v="1"/>
    <x v="5"/>
    <s v="2018_0.125_Krogiss"/>
    <s v="Preliminary"/>
    <n v="1"/>
    <s v="Middle Belt"/>
    <n v="0.125"/>
  </r>
  <r>
    <s v="Nifa SHS"/>
    <s v="Nifa SHS Senior High School"/>
    <x v="4"/>
    <x v="1"/>
    <x v="3"/>
    <n v="33"/>
    <n v="2"/>
    <x v="5"/>
    <s v="2018_0.125_Krogiss"/>
    <s v="Preliminary"/>
    <n v="0"/>
    <s v="Middle Belt"/>
    <n v="6.25E-2"/>
  </r>
  <r>
    <s v="Dzodze Penyi"/>
    <s v="Dzodze Penyi Senior High School"/>
    <x v="3"/>
    <x v="1"/>
    <x v="3"/>
    <n v="13"/>
    <n v="3"/>
    <x v="5"/>
    <s v="2018_0.125_Krogiss"/>
    <s v="Preliminary"/>
    <n v="0"/>
    <s v="Coastal"/>
    <n v="4.1666666666666664E-2"/>
  </r>
  <r>
    <s v="Holico"/>
    <s v="Holico Senior High School"/>
    <x v="2"/>
    <x v="2"/>
    <x v="3"/>
    <n v="33"/>
    <n v="1"/>
    <x v="5"/>
    <s v="2018_0.125_Holico"/>
    <s v="Preliminary"/>
    <n v="1"/>
    <s v="Coastal"/>
    <n v="0.125"/>
  </r>
  <r>
    <s v="Akwamuman"/>
    <s v="Akwamuman Senior High School"/>
    <x v="4"/>
    <x v="1"/>
    <x v="3"/>
    <n v="31"/>
    <n v="2"/>
    <x v="5"/>
    <s v="2018_0.125_Holico"/>
    <s v="Preliminary"/>
    <n v="0"/>
    <s v="Middle Belt"/>
    <n v="6.25E-2"/>
  </r>
  <r>
    <s v="Breman Asikuma"/>
    <s v="Breman Asikuma Senior High School"/>
    <x v="2"/>
    <x v="1"/>
    <x v="3"/>
    <n v="30"/>
    <n v="3"/>
    <x v="5"/>
    <s v="2018_0.125_Holico"/>
    <s v="Preliminary"/>
    <n v="0"/>
    <s v="Coastal"/>
    <n v="4.1666666666666664E-2"/>
  </r>
  <r>
    <s v="St Margaret Mary"/>
    <s v="St Margaret Mary Senior High School"/>
    <x v="0"/>
    <x v="1"/>
    <x v="3"/>
    <n v="26"/>
    <n v="1"/>
    <x v="5"/>
    <s v="2018_0.125_St Margaret Mary"/>
    <s v="Preliminary"/>
    <n v="1"/>
    <s v="Coastal"/>
    <n v="0.125"/>
  </r>
  <r>
    <s v="Takoradi SHS"/>
    <s v="Takoradi Senior High School"/>
    <x v="5"/>
    <x v="1"/>
    <x v="3"/>
    <n v="23"/>
    <n v="2"/>
    <x v="5"/>
    <s v="2018_0.125_St Margaret Mary"/>
    <s v="Preliminary"/>
    <n v="0"/>
    <s v="Coastal"/>
    <n v="6.25E-2"/>
  </r>
  <r>
    <s v="Labone SHS"/>
    <s v="Labone Senior High School"/>
    <x v="0"/>
    <x v="1"/>
    <x v="3"/>
    <n v="19"/>
    <n v="3"/>
    <x v="5"/>
    <s v="2018_0.125_St Margaret Mary"/>
    <s v="Preliminary"/>
    <n v="0"/>
    <s v="Coastal"/>
    <n v="4.1666666666666664E-2"/>
  </r>
  <r>
    <s v="Ghana National"/>
    <s v="Ghana National College"/>
    <x v="2"/>
    <x v="1"/>
    <x v="3"/>
    <n v="57"/>
    <n v="1"/>
    <x v="5"/>
    <s v="2018_0.125_Ghana National"/>
    <s v="Preliminary"/>
    <n v="1"/>
    <s v="Coastal"/>
    <n v="0.125"/>
  </r>
  <r>
    <s v="Swedru SHS"/>
    <s v="Swedru Senior High School"/>
    <x v="2"/>
    <x v="1"/>
    <x v="3"/>
    <n v="43"/>
    <n v="2"/>
    <x v="5"/>
    <s v="2018_0.125_Ghana National"/>
    <s v="Preliminary"/>
    <n v="0"/>
    <s v="Coastal"/>
    <n v="6.25E-2"/>
  </r>
  <r>
    <s v="St Mary's Sem Lolobi"/>
    <s v="St Mary's Seminary Secondary School, Lolobi"/>
    <x v="3"/>
    <x v="0"/>
    <x v="3"/>
    <n v="28"/>
    <n v="3"/>
    <x v="5"/>
    <s v="2018_0.125_Ghana National"/>
    <s v="Preliminary"/>
    <n v="0"/>
    <s v="Coastal"/>
    <n v="4.1666666666666664E-2"/>
  </r>
  <r>
    <s v="Aburi Girls"/>
    <s v="Aburi Girls' Senior High School"/>
    <x v="4"/>
    <x v="2"/>
    <x v="3"/>
    <n v="45"/>
    <n v="1"/>
    <x v="5"/>
    <s v="2018_0.125_Aburi Girls"/>
    <s v="Preliminary"/>
    <n v="1"/>
    <s v="Middle Belt"/>
    <n v="0.125"/>
  </r>
  <r>
    <s v="Obuasi SHTS"/>
    <s v="Obuasi Senior High Technical School"/>
    <x v="1"/>
    <x v="1"/>
    <x v="3"/>
    <n v="14"/>
    <n v="2"/>
    <x v="5"/>
    <s v="2018_0.125_Aburi Girls"/>
    <s v="Preliminary"/>
    <n v="0"/>
    <s v="Middle Belt"/>
    <n v="6.25E-2"/>
  </r>
  <r>
    <s v="Abusco"/>
    <s v="Abuakwa State College"/>
    <x v="4"/>
    <x v="1"/>
    <x v="3"/>
    <n v="12"/>
    <n v="3"/>
    <x v="5"/>
    <s v="2018_0.125_Aburi Girls"/>
    <s v="Preliminary"/>
    <n v="0"/>
    <s v="Middle Belt"/>
    <n v="4.1666666666666664E-2"/>
  </r>
  <r>
    <s v="Unipra"/>
    <s v="University Practice Senior High School"/>
    <x v="2"/>
    <x v="1"/>
    <x v="3"/>
    <n v="45"/>
    <n v="1"/>
    <x v="5"/>
    <s v="2018_0.125_Unipra"/>
    <s v="Preliminary"/>
    <n v="1"/>
    <s v="Coastal"/>
    <n v="1"/>
  </r>
  <r>
    <s v="Bolgatanga SHS"/>
    <s v="Bolgatanga Senior High School"/>
    <x v="10"/>
    <x v="1"/>
    <x v="3"/>
    <n v="31"/>
    <n v="2"/>
    <x v="5"/>
    <s v="2018_0.125_Unipra"/>
    <s v="Preliminary"/>
    <n v="0"/>
    <s v="Northern"/>
    <n v="0.5"/>
  </r>
  <r>
    <s v="OKESS"/>
    <s v="Osei Kyeretwie Senior High School"/>
    <x v="1"/>
    <x v="1"/>
    <x v="3"/>
    <n v="25"/>
    <n v="3"/>
    <x v="5"/>
    <s v="2018_0.125_Unipra"/>
    <s v="Preliminary"/>
    <n v="0"/>
    <s v="Middle Belt"/>
    <n v="0.33333333333333331"/>
  </r>
  <r>
    <s v="Prempeh"/>
    <s v="Prempeh College"/>
    <x v="1"/>
    <x v="0"/>
    <x v="0"/>
    <n v="53"/>
    <n v="1"/>
    <x v="6"/>
    <s v="2017_1.0_Prempeh"/>
    <s v="Final"/>
    <n v="1"/>
    <s v="Middle Belt"/>
    <n v="0.5"/>
  </r>
  <r>
    <s v="Aquinas"/>
    <s v="St. Thomas Aquinas Senior High School"/>
    <x v="0"/>
    <x v="0"/>
    <x v="0"/>
    <n v="51"/>
    <n v="2"/>
    <x v="6"/>
    <s v="2017_1.0_Prempeh"/>
    <s v="Final"/>
    <n v="0"/>
    <s v="Coastal"/>
    <n v="0.25"/>
  </r>
  <r>
    <s v="Adisco"/>
    <s v="Adisadel College"/>
    <x v="2"/>
    <x v="0"/>
    <x v="0"/>
    <n v="31"/>
    <n v="3"/>
    <x v="6"/>
    <s v="2017_1.0_Prempeh"/>
    <s v="Final"/>
    <n v="0"/>
    <s v="Coastal"/>
    <n v="0.16666666666666666"/>
  </r>
  <r>
    <s v="Prempeh"/>
    <s v="Prempeh College"/>
    <x v="1"/>
    <x v="0"/>
    <x v="1"/>
    <n v="55"/>
    <n v="1"/>
    <x v="6"/>
    <s v="2017_0.5_Prempeh"/>
    <s v="Semifinal"/>
    <n v="1"/>
    <s v="Middle Belt"/>
    <n v="0.5"/>
  </r>
  <r>
    <s v="Mfantsipim"/>
    <s v="Mfantsipim School"/>
    <x v="2"/>
    <x v="0"/>
    <x v="1"/>
    <n v="49"/>
    <n v="2"/>
    <x v="6"/>
    <s v="2017_0.5_Prempeh"/>
    <s v="Semifinal"/>
    <n v="0"/>
    <s v="Coastal"/>
    <n v="0.25"/>
  </r>
  <r>
    <s v="Mawuli"/>
    <s v="Mawuli School"/>
    <x v="3"/>
    <x v="1"/>
    <x v="1"/>
    <n v="43"/>
    <n v="3"/>
    <x v="6"/>
    <s v="2017_0.5_Prempeh"/>
    <s v="Semifinal"/>
    <n v="0"/>
    <s v="Coastal"/>
    <n v="0.16666666666666666"/>
  </r>
  <r>
    <s v="Aquinas"/>
    <s v="St. Thomas Aquinas Senior High School"/>
    <x v="0"/>
    <x v="0"/>
    <x v="1"/>
    <n v="52"/>
    <n v="1"/>
    <x v="6"/>
    <s v="2017_0.5_Aquinas"/>
    <s v="Semifinal"/>
    <n v="1"/>
    <s v="Coastal"/>
    <n v="0.5"/>
  </r>
  <r>
    <s v="Presec Legon"/>
    <s v="Presbyterian Boys' Senior High School"/>
    <x v="0"/>
    <x v="0"/>
    <x v="1"/>
    <n v="39"/>
    <n v="2"/>
    <x v="6"/>
    <s v="2017_0.5_Aquinas"/>
    <s v="Semifinal"/>
    <n v="0"/>
    <s v="Coastal"/>
    <n v="0.25"/>
  </r>
  <r>
    <s v="Kuhis"/>
    <s v="Kumasi High School"/>
    <x v="1"/>
    <x v="0"/>
    <x v="1"/>
    <n v="28"/>
    <n v="3"/>
    <x v="6"/>
    <s v="2017_0.5_Aquinas"/>
    <s v="Semifinal"/>
    <n v="0"/>
    <s v="Middle Belt"/>
    <n v="0.16666666666666666"/>
  </r>
  <r>
    <s v="Adisco"/>
    <s v="Adisadel College"/>
    <x v="2"/>
    <x v="0"/>
    <x v="1"/>
    <n v="36"/>
    <n v="1"/>
    <x v="6"/>
    <s v="2017_0.5_Adisco"/>
    <s v="Semifinal"/>
    <n v="1"/>
    <s v="Coastal"/>
    <n v="0.25"/>
  </r>
  <r>
    <s v="Unipra"/>
    <s v="University Practice Senior High School"/>
    <x v="2"/>
    <x v="1"/>
    <x v="1"/>
    <n v="35"/>
    <n v="2"/>
    <x v="6"/>
    <s v="2017_0.5_Adisco"/>
    <s v="Semifinal"/>
    <n v="0"/>
    <s v="Coastal"/>
    <n v="0.125"/>
  </r>
  <r>
    <s v="Ghana National"/>
    <s v="Ghana National College"/>
    <x v="2"/>
    <x v="1"/>
    <x v="1"/>
    <n v="27"/>
    <n v="3"/>
    <x v="6"/>
    <s v="2017_0.5_Adisco"/>
    <s v="Semifinal"/>
    <n v="0"/>
    <s v="Coastal"/>
    <n v="8.3333333333333329E-2"/>
  </r>
  <r>
    <s v="Prempeh"/>
    <s v="Prempeh College"/>
    <x v="1"/>
    <x v="0"/>
    <x v="2"/>
    <n v="82"/>
    <n v="1"/>
    <x v="6"/>
    <s v="2017_0.25_Prempeh"/>
    <s v="Quarterfinal"/>
    <n v="1"/>
    <s v="Middle Belt"/>
    <n v="0.25"/>
  </r>
  <r>
    <s v="GSTS"/>
    <s v="Ghana Secondary Technical School"/>
    <x v="5"/>
    <x v="0"/>
    <x v="2"/>
    <n v="39"/>
    <n v="2"/>
    <x v="6"/>
    <s v="2017_0.25_Prempeh"/>
    <s v="Quarterfinal"/>
    <n v="0"/>
    <s v="Coastal"/>
    <n v="0.125"/>
  </r>
  <r>
    <s v="Aduman SHS"/>
    <s v="Aduman Senior High School"/>
    <x v="1"/>
    <x v="1"/>
    <x v="2"/>
    <n v="31"/>
    <n v="3"/>
    <x v="6"/>
    <s v="2017_0.25_Prempeh"/>
    <s v="Quarterfinal"/>
    <n v="0"/>
    <s v="Middle Belt"/>
    <n v="8.3333333333333329E-2"/>
  </r>
  <r>
    <s v="Mfantsipim"/>
    <s v="Mfantsipim School"/>
    <x v="2"/>
    <x v="0"/>
    <x v="2"/>
    <n v="54"/>
    <n v="1"/>
    <x v="6"/>
    <s v="2017_0.25_Mfantsipim"/>
    <s v="Quarterfinal"/>
    <n v="1"/>
    <s v="Coastal"/>
    <n v="0.25"/>
  </r>
  <r>
    <s v="Aggrey Memorial Zion SHS"/>
    <s v="Aggrey Memorial AME Zion Senior High"/>
    <x v="2"/>
    <x v="1"/>
    <x v="2"/>
    <n v="29"/>
    <n v="2"/>
    <x v="6"/>
    <s v="2017_0.25_Mfantsipim"/>
    <s v="Quarterfinal"/>
    <n v="0"/>
    <s v="Coastal"/>
    <n v="0.125"/>
  </r>
  <r>
    <s v="Anlo SHS"/>
    <s v="Anlo Senior High School"/>
    <x v="3"/>
    <x v="1"/>
    <x v="2"/>
    <n v="26"/>
    <n v="3"/>
    <x v="6"/>
    <s v="2017_0.25_Mfantsipim"/>
    <s v="Quarterfinal"/>
    <n v="0"/>
    <s v="Coastal"/>
    <n v="8.3333333333333329E-2"/>
  </r>
  <r>
    <s v="Mawuli"/>
    <s v="Mawuli School"/>
    <x v="3"/>
    <x v="1"/>
    <x v="2"/>
    <n v="56"/>
    <n v="1"/>
    <x v="6"/>
    <s v="2017_0.25_Mawuli"/>
    <s v="Quarterfinal"/>
    <n v="1"/>
    <s v="Coastal"/>
    <n v="0.25"/>
  </r>
  <r>
    <s v="WASS"/>
    <s v="West Africa Senior High School"/>
    <x v="0"/>
    <x v="1"/>
    <x v="2"/>
    <n v="38"/>
    <n v="2"/>
    <x v="6"/>
    <s v="2017_0.25_Mawuli"/>
    <s v="Quarterfinal"/>
    <n v="0"/>
    <s v="Coastal"/>
    <n v="0.125"/>
  </r>
  <r>
    <s v="Holico"/>
    <s v="Holico Senior High School"/>
    <x v="2"/>
    <x v="2"/>
    <x v="2"/>
    <n v="21"/>
    <n v="3"/>
    <x v="6"/>
    <s v="2017_0.25_Mawuli"/>
    <s v="Quarterfinal"/>
    <n v="0"/>
    <s v="Coastal"/>
    <n v="8.3333333333333329E-2"/>
  </r>
  <r>
    <s v="Aquinas"/>
    <s v="St. Thomas Aquinas Senior High School"/>
    <x v="0"/>
    <x v="0"/>
    <x v="2"/>
    <n v="42"/>
    <n v="1"/>
    <x v="6"/>
    <s v="2017_0.25_Aquinas"/>
    <s v="Quarterfinal"/>
    <n v="1"/>
    <s v="Coastal"/>
    <n v="0.25"/>
  </r>
  <r>
    <s v="Nifa SHS"/>
    <s v="Nifa SHS Senior High School"/>
    <x v="4"/>
    <x v="1"/>
    <x v="2"/>
    <n v="40"/>
    <n v="2"/>
    <x v="6"/>
    <s v="2017_0.25_Aquinas"/>
    <s v="Quarterfinal"/>
    <n v="0"/>
    <s v="Middle Belt"/>
    <n v="0.125"/>
  </r>
  <r>
    <s v="St Hubert"/>
    <s v="St. Hubert Seminary Senior High School"/>
    <x v="1"/>
    <x v="0"/>
    <x v="2"/>
    <n v="35"/>
    <n v="3"/>
    <x v="6"/>
    <s v="2017_0.25_Aquinas"/>
    <s v="Quarterfinal"/>
    <n v="0"/>
    <s v="Middle Belt"/>
    <n v="8.3333333333333329E-2"/>
  </r>
  <r>
    <s v="Presec Legon"/>
    <s v="Presbyterian Boys' Senior High School"/>
    <x v="0"/>
    <x v="0"/>
    <x v="2"/>
    <n v="53"/>
    <n v="1"/>
    <x v="6"/>
    <s v="2017_0.25_Presec Legon"/>
    <s v="Quarterfinal"/>
    <n v="1"/>
    <s v="Coastal"/>
    <n v="0.25"/>
  </r>
  <r>
    <s v="Keta"/>
    <s v="Keta Senior High Technical School"/>
    <x v="3"/>
    <x v="1"/>
    <x v="2"/>
    <n v="44"/>
    <n v="2"/>
    <x v="6"/>
    <s v="2017_0.25_Presec Legon"/>
    <s v="Quarterfinal"/>
    <n v="0"/>
    <s v="Coastal"/>
    <n v="0.125"/>
  </r>
  <r>
    <s v="Jachie Pramso"/>
    <s v="Jachie-Pramso Senior High School"/>
    <x v="1"/>
    <x v="1"/>
    <x v="2"/>
    <n v="31"/>
    <n v="3"/>
    <x v="6"/>
    <s v="2017_0.25_Presec Legon"/>
    <s v="Quarterfinal"/>
    <n v="0"/>
    <s v="Middle Belt"/>
    <n v="8.3333333333333329E-2"/>
  </r>
  <r>
    <s v="Kuhis"/>
    <s v="Kumasi High School"/>
    <x v="1"/>
    <x v="0"/>
    <x v="2"/>
    <n v="43"/>
    <n v="1"/>
    <x v="6"/>
    <s v="2017_0.25_Kuhis"/>
    <s v="Quarterfinal"/>
    <n v="1"/>
    <s v="Middle Belt"/>
    <n v="0.25"/>
  </r>
  <r>
    <s v="TI Amass Fomena"/>
    <s v="TI Ahmadiyya Senior High School, Fomena"/>
    <x v="1"/>
    <x v="1"/>
    <x v="2"/>
    <n v="39"/>
    <n v="2"/>
    <x v="6"/>
    <s v="2017_0.25_Kuhis"/>
    <s v="Quarterfinal"/>
    <n v="0"/>
    <s v="Middle Belt"/>
    <n v="0.125"/>
  </r>
  <r>
    <s v="Wegehey"/>
    <s v="Wesley Girls' Senior High School"/>
    <x v="2"/>
    <x v="2"/>
    <x v="2"/>
    <n v="31"/>
    <n v="3"/>
    <x v="6"/>
    <s v="2017_0.25_Kuhis"/>
    <s v="Quarterfinal"/>
    <n v="0"/>
    <s v="Coastal"/>
    <n v="8.3333333333333329E-2"/>
  </r>
  <r>
    <s v="Adisco"/>
    <s v="Adisadel College"/>
    <x v="2"/>
    <x v="0"/>
    <x v="2"/>
    <n v="50"/>
    <n v="1"/>
    <x v="6"/>
    <s v="2017_0.25_Adisco"/>
    <s v="Quarterfinal"/>
    <n v="1"/>
    <s v="Coastal"/>
    <n v="0.25"/>
  </r>
  <r>
    <s v="New Juaben SHS"/>
    <s v="New Juaben SHS Senior High School"/>
    <x v="4"/>
    <x v="1"/>
    <x v="2"/>
    <n v="40"/>
    <n v="2"/>
    <x v="6"/>
    <s v="2017_0.25_Adisco"/>
    <s v="Quarterfinal"/>
    <n v="0"/>
    <s v="Middle Belt"/>
    <n v="0.125"/>
  </r>
  <r>
    <s v="Takoradi SHS"/>
    <s v="Takoradi Senior High School"/>
    <x v="5"/>
    <x v="1"/>
    <x v="2"/>
    <n v="38"/>
    <n v="3"/>
    <x v="6"/>
    <s v="2017_0.25_Adisco"/>
    <s v="Quarterfinal"/>
    <n v="0"/>
    <s v="Coastal"/>
    <n v="8.3333333333333329E-2"/>
  </r>
  <r>
    <s v="Unipra"/>
    <s v="University Practice Senior High School"/>
    <x v="2"/>
    <x v="1"/>
    <x v="2"/>
    <n v="51"/>
    <n v="1"/>
    <x v="6"/>
    <s v="2017_0.25_Unipra"/>
    <s v="Quarterfinal"/>
    <n v="1"/>
    <s v="Coastal"/>
    <n v="0.25"/>
  </r>
  <r>
    <s v="Tamale SHS"/>
    <s v="Tamale SHS Senior High School"/>
    <x v="7"/>
    <x v="1"/>
    <x v="2"/>
    <n v="48"/>
    <n v="2"/>
    <x v="6"/>
    <s v="2017_0.25_Unipra"/>
    <s v="Quarterfinal"/>
    <n v="0"/>
    <s v="Northern"/>
    <n v="0.125"/>
  </r>
  <r>
    <s v="KNUST SHS"/>
    <s v="KNUST Senior High School"/>
    <x v="1"/>
    <x v="1"/>
    <x v="2"/>
    <n v="33"/>
    <n v="3"/>
    <x v="6"/>
    <s v="2017_0.25_Unipra"/>
    <s v="Quarterfinal"/>
    <n v="0"/>
    <s v="Middle Belt"/>
    <n v="8.3333333333333329E-2"/>
  </r>
  <r>
    <s v="Ghana National"/>
    <s v="Ghana National College"/>
    <x v="2"/>
    <x v="1"/>
    <x v="2"/>
    <n v="50"/>
    <n v="1"/>
    <x v="6"/>
    <s v="2017_0.25_Ghana National"/>
    <s v="Quarterfinal"/>
    <n v="1"/>
    <s v="Coastal"/>
    <n v="0.125"/>
  </r>
  <r>
    <s v="Porters"/>
    <s v="Archbishop Porter Girls' Senior High School"/>
    <x v="5"/>
    <x v="2"/>
    <x v="2"/>
    <n v="34"/>
    <n v="2"/>
    <x v="6"/>
    <s v="2017_0.25_Ghana National"/>
    <s v="Quarterfinal"/>
    <n v="0"/>
    <s v="Coastal"/>
    <n v="6.25E-2"/>
  </r>
  <r>
    <s v="Aburi Girls"/>
    <s v="Aburi Girls' Senior High School"/>
    <x v="4"/>
    <x v="2"/>
    <x v="2"/>
    <n v="28"/>
    <n v="3"/>
    <x v="6"/>
    <s v="2017_0.25_Ghana National"/>
    <s v="Quarterfinal"/>
    <n v="0"/>
    <s v="Middle Belt"/>
    <n v="4.1666666666666664E-2"/>
  </r>
  <r>
    <s v="Prempeh"/>
    <s v="Prempeh College"/>
    <x v="1"/>
    <x v="0"/>
    <x v="3"/>
    <n v="49"/>
    <n v="1"/>
    <x v="6"/>
    <s v="2017_0.125_Prempeh"/>
    <s v="Preliminary"/>
    <n v="1"/>
    <s v="Middle Belt"/>
    <n v="0.125"/>
  </r>
  <r>
    <s v="St. Louis"/>
    <s v="St. Louis Senior High School"/>
    <x v="1"/>
    <x v="2"/>
    <x v="3"/>
    <n v="29"/>
    <n v="2"/>
    <x v="6"/>
    <s v="2017_0.125_Prempeh"/>
    <s v="Preliminary"/>
    <n v="0"/>
    <s v="Middle Belt"/>
    <n v="6.25E-2"/>
  </r>
  <r>
    <s v="Toase SHS"/>
    <s v="Toase Senior High School"/>
    <x v="1"/>
    <x v="1"/>
    <x v="3"/>
    <n v="22"/>
    <n v="3"/>
    <x v="6"/>
    <s v="2017_0.125_Prempeh"/>
    <s v="Preliminary"/>
    <n v="0"/>
    <s v="Middle Belt"/>
    <n v="4.1666666666666664E-2"/>
  </r>
  <r>
    <s v="GSTS"/>
    <s v="Ghana Secondary Technical School"/>
    <x v="5"/>
    <x v="0"/>
    <x v="3"/>
    <n v="48"/>
    <n v="1"/>
    <x v="6"/>
    <s v="2017_0.125_GSTS"/>
    <s v="Preliminary"/>
    <n v="1"/>
    <s v="Coastal"/>
    <n v="0.125"/>
  </r>
  <r>
    <s v="Wesley Grammar"/>
    <s v="Wesley Grammar Senior High School"/>
    <x v="0"/>
    <x v="1"/>
    <x v="3"/>
    <n v="36"/>
    <n v="2"/>
    <x v="6"/>
    <s v="2017_0.125_GSTS"/>
    <s v="Preliminary"/>
    <n v="0"/>
    <s v="Coastal"/>
    <n v="6.25E-2"/>
  </r>
  <r>
    <s v="Tepa"/>
    <s v="Tepa Senior High School"/>
    <x v="1"/>
    <x v="1"/>
    <x v="3"/>
    <n v="28"/>
    <n v="3"/>
    <x v="6"/>
    <s v="2017_0.125_GSTS"/>
    <s v="Preliminary"/>
    <n v="0"/>
    <s v="Middle Belt"/>
    <n v="4.1666666666666664E-2"/>
  </r>
  <r>
    <s v="Aduman SHS"/>
    <s v="Aduman Senior High School"/>
    <x v="1"/>
    <x v="1"/>
    <x v="3"/>
    <n v="35"/>
    <n v="1"/>
    <x v="6"/>
    <s v="2017_0.125_Aduman SHS"/>
    <s v="Preliminary"/>
    <n v="1"/>
    <s v="Middle Belt"/>
    <n v="0.125"/>
  </r>
  <r>
    <s v="St. Monica"/>
    <s v="St. Monica's Senior High School"/>
    <x v="1"/>
    <x v="2"/>
    <x v="3"/>
    <n v="33"/>
    <n v="2"/>
    <x v="6"/>
    <s v="2017_0.125_Aduman SHS"/>
    <s v="Preliminary"/>
    <n v="0"/>
    <s v="Middle Belt"/>
    <n v="6.25E-2"/>
  </r>
  <r>
    <s v="Presby SHTS Aburi"/>
    <s v="Aburi Presbyterian Senior High Technical School"/>
    <x v="4"/>
    <x v="1"/>
    <x v="3"/>
    <n v="29"/>
    <n v="3"/>
    <x v="6"/>
    <s v="2017_0.125_Aduman SHS"/>
    <s v="Preliminary"/>
    <n v="0"/>
    <s v="Middle Belt"/>
    <n v="4.1666666666666664E-2"/>
  </r>
  <r>
    <s v="Mfantsipim"/>
    <s v="Mfantsipim School"/>
    <x v="2"/>
    <x v="0"/>
    <x v="3"/>
    <n v="50"/>
    <n v="1"/>
    <x v="6"/>
    <s v="2017_0.125_Mfantsipim"/>
    <s v="Preliminary"/>
    <n v="1"/>
    <s v="Coastal"/>
    <n v="0.125"/>
  </r>
  <r>
    <s v="Persco"/>
    <s v="St. Peter's Senior High School"/>
    <x v="4"/>
    <x v="0"/>
    <x v="3"/>
    <n v="47"/>
    <n v="2"/>
    <x v="6"/>
    <s v="2017_0.125_Mfantsipim"/>
    <s v="Preliminary"/>
    <n v="0"/>
    <s v="Middle Belt"/>
    <n v="6.25E-2"/>
  </r>
  <r>
    <s v="Kwahu Ridge SHTS"/>
    <s v="Kwahu Ridge Senior High Technical School"/>
    <x v="4"/>
    <x v="1"/>
    <x v="3"/>
    <n v="20"/>
    <n v="3"/>
    <x v="6"/>
    <s v="2017_0.125_Mfantsipim"/>
    <s v="Preliminary"/>
    <n v="0"/>
    <s v="Middle Belt"/>
    <n v="4.1666666666666664E-2"/>
  </r>
  <r>
    <s v="Aggrey Memorial Zion SHS"/>
    <s v="Aggrey Memorial AME Zion Senior High"/>
    <x v="2"/>
    <x v="1"/>
    <x v="3"/>
    <n v="42"/>
    <n v="1"/>
    <x v="6"/>
    <s v="2017_0.125_Aggrey Memorial Zion SHS"/>
    <s v="Preliminary"/>
    <n v="1"/>
    <s v="Coastal"/>
    <n v="0.125"/>
  </r>
  <r>
    <s v="Notre Dame Girls"/>
    <s v="Notre Dame Girls Senior High School"/>
    <x v="6"/>
    <x v="2"/>
    <x v="3"/>
    <n v="41"/>
    <n v="2"/>
    <x v="6"/>
    <s v="2017_0.125_Aggrey Memorial Zion SHS"/>
    <s v="Preliminary"/>
    <n v="0"/>
    <s v="Middle Belt"/>
    <n v="6.25E-2"/>
  </r>
  <r>
    <s v="Nandom"/>
    <s v="Nandom Senior High School"/>
    <x v="8"/>
    <x v="0"/>
    <x v="3"/>
    <n v="34"/>
    <n v="3"/>
    <x v="6"/>
    <s v="2017_0.125_Aggrey Memorial Zion SHS"/>
    <s v="Preliminary"/>
    <n v="0"/>
    <s v="Northern"/>
    <n v="4.1666666666666664E-2"/>
  </r>
  <r>
    <s v="Anlo SHS"/>
    <s v="Anlo Senior High School"/>
    <x v="3"/>
    <x v="1"/>
    <x v="3"/>
    <n v="31"/>
    <n v="1"/>
    <x v="6"/>
    <s v="2017_0.125_Anlo SHS"/>
    <s v="Preliminary"/>
    <n v="1"/>
    <s v="Coastal"/>
    <n v="0.125"/>
  </r>
  <r>
    <s v="St. James"/>
    <s v="St. James Seminary and Senior High School"/>
    <x v="6"/>
    <x v="0"/>
    <x v="3"/>
    <n v="22"/>
    <n v="2"/>
    <x v="6"/>
    <s v="2017_0.125_Anlo SHS"/>
    <s v="Preliminary"/>
    <n v="0"/>
    <s v="Middle Belt"/>
    <n v="6.25E-2"/>
  </r>
  <r>
    <s v="Sekondi College"/>
    <s v="Sekondi College Senior High School"/>
    <x v="5"/>
    <x v="1"/>
    <x v="3"/>
    <n v="11"/>
    <n v="3"/>
    <x v="6"/>
    <s v="2017_0.125_Anlo SHS"/>
    <s v="Preliminary"/>
    <n v="0"/>
    <s v="Coastal"/>
    <n v="4.1666666666666664E-2"/>
  </r>
  <r>
    <s v="Mawuli"/>
    <s v="Mawuli School"/>
    <x v="3"/>
    <x v="1"/>
    <x v="3"/>
    <n v="49"/>
    <n v="1"/>
    <x v="6"/>
    <s v="2017_0.125_Mawuli"/>
    <s v="Preliminary"/>
    <n v="1"/>
    <s v="Coastal"/>
    <n v="0.125"/>
  </r>
  <r>
    <s v="Kumasi sectec"/>
    <s v="Kumasi Senior High Technical School"/>
    <x v="1"/>
    <x v="1"/>
    <x v="3"/>
    <n v="43"/>
    <n v="2"/>
    <x v="6"/>
    <s v="2017_0.125_Mawuli"/>
    <s v="Preliminary"/>
    <n v="0"/>
    <s v="Middle Belt"/>
    <n v="6.25E-2"/>
  </r>
  <r>
    <s v="Nsein"/>
    <s v="Nsein Senior High School"/>
    <x v="5"/>
    <x v="1"/>
    <x v="3"/>
    <n v="27"/>
    <n v="3"/>
    <x v="6"/>
    <s v="2017_0.125_Mawuli"/>
    <s v="Preliminary"/>
    <n v="0"/>
    <s v="Coastal"/>
    <n v="4.1666666666666664E-2"/>
  </r>
  <r>
    <s v="WASS"/>
    <s v="West Africa Senior High School"/>
    <x v="0"/>
    <x v="1"/>
    <x v="3"/>
    <n v="43"/>
    <n v="1"/>
    <x v="6"/>
    <s v="2017_0.125_WASS"/>
    <s v="Preliminary"/>
    <n v="1"/>
    <s v="Coastal"/>
    <n v="0.125"/>
  </r>
  <r>
    <s v="Sunyani SHS"/>
    <s v="Sunyani Senior High School"/>
    <x v="6"/>
    <x v="1"/>
    <x v="3"/>
    <n v="37"/>
    <n v="2"/>
    <x v="6"/>
    <s v="2017_0.125_WASS"/>
    <s v="Preliminary"/>
    <n v="0"/>
    <s v="Middle Belt"/>
    <n v="6.25E-2"/>
  </r>
  <r>
    <s v="Bueman SHS"/>
    <s v="Bueman Senior High School"/>
    <x v="12"/>
    <x v="1"/>
    <x v="3"/>
    <n v="27"/>
    <n v="3"/>
    <x v="6"/>
    <s v="2017_0.125_WASS"/>
    <s v="Preliminary"/>
    <n v="0"/>
    <s v="Middle Belt"/>
    <n v="4.1666666666666664E-2"/>
  </r>
  <r>
    <s v="Holico"/>
    <s v="Holico Senior High School"/>
    <x v="2"/>
    <x v="2"/>
    <x v="3"/>
    <n v="40"/>
    <n v="1"/>
    <x v="6"/>
    <s v="2017_0.125_Holico"/>
    <s v="Preliminary"/>
    <n v="1"/>
    <s v="Coastal"/>
    <n v="0.125"/>
  </r>
  <r>
    <s v="Koforidua Sec Tech"/>
    <s v="Koforidua Sec Tech Senior High School"/>
    <x v="4"/>
    <x v="0"/>
    <x v="3"/>
    <n v="30"/>
    <n v="2"/>
    <x v="6"/>
    <s v="2017_0.125_Holico"/>
    <s v="Preliminary"/>
    <n v="0"/>
    <s v="Middle Belt"/>
    <n v="6.25E-2"/>
  </r>
  <r>
    <s v="Half Assini"/>
    <s v="Half Assini Senior High School"/>
    <x v="5"/>
    <x v="1"/>
    <x v="3"/>
    <n v="29"/>
    <n v="3"/>
    <x v="6"/>
    <s v="2017_0.125_Holico"/>
    <s v="Preliminary"/>
    <n v="0"/>
    <s v="Coastal"/>
    <n v="4.1666666666666664E-2"/>
  </r>
  <r>
    <s v="Aquinas"/>
    <s v="St. Thomas Aquinas Senior High School"/>
    <x v="0"/>
    <x v="0"/>
    <x v="3"/>
    <n v="67"/>
    <n v="1"/>
    <x v="6"/>
    <s v="2017_0.125_Aquinas"/>
    <s v="Preliminary"/>
    <n v="1"/>
    <s v="Coastal"/>
    <n v="0.125"/>
  </r>
  <r>
    <s v="Juaso SHTS"/>
    <s v="Juaso Senior High Technical School"/>
    <x v="1"/>
    <x v="1"/>
    <x v="3"/>
    <n v="37"/>
    <n v="2"/>
    <x v="6"/>
    <s v="2017_0.125_Aquinas"/>
    <s v="Preliminary"/>
    <n v="0"/>
    <s v="Middle Belt"/>
    <n v="6.25E-2"/>
  </r>
  <r>
    <s v="Biheco"/>
    <s v="Bishop Herman College"/>
    <x v="3"/>
    <x v="0"/>
    <x v="3"/>
    <n v="34"/>
    <n v="3"/>
    <x v="6"/>
    <s v="2017_0.125_Aquinas"/>
    <s v="Preliminary"/>
    <n v="0"/>
    <s v="Coastal"/>
    <n v="4.1666666666666664E-2"/>
  </r>
  <r>
    <s v="Nifa SHS"/>
    <s v="Nifa SHS Senior High School"/>
    <x v="4"/>
    <x v="1"/>
    <x v="3"/>
    <n v="42"/>
    <n v="1"/>
    <x v="6"/>
    <s v="2017_0.125_Nifa SHS"/>
    <s v="Preliminary"/>
    <n v="1"/>
    <s v="Middle Belt"/>
    <n v="0.125"/>
  </r>
  <r>
    <s v="Okuapeman"/>
    <s v="Okuapeman Senior High School"/>
    <x v="4"/>
    <x v="1"/>
    <x v="3"/>
    <n v="31"/>
    <n v="2"/>
    <x v="6"/>
    <s v="2017_0.125_Nifa SHS"/>
    <s v="Preliminary"/>
    <n v="0"/>
    <s v="Middle Belt"/>
    <n v="6.25E-2"/>
  </r>
  <r>
    <s v="Awudome SHS"/>
    <s v="Awudome Senior High School"/>
    <x v="3"/>
    <x v="1"/>
    <x v="3"/>
    <n v="31"/>
    <n v="3"/>
    <x v="6"/>
    <s v="2017_0.125_Nifa SHS"/>
    <s v="Preliminary"/>
    <n v="0"/>
    <s v="Coastal"/>
    <n v="4.1666666666666664E-2"/>
  </r>
  <r>
    <s v="St Hubert"/>
    <s v="St. Hubert Seminary Senior High School"/>
    <x v="1"/>
    <x v="0"/>
    <x v="3"/>
    <n v="43"/>
    <n v="1"/>
    <x v="6"/>
    <s v="2017_0.125_St Hubert"/>
    <s v="Preliminary"/>
    <n v="1"/>
    <s v="Middle Belt"/>
    <n v="0.125"/>
  </r>
  <r>
    <s v="Chemu SHS"/>
    <s v="Chemu Senior High School"/>
    <x v="0"/>
    <x v="1"/>
    <x v="3"/>
    <n v="40"/>
    <n v="2"/>
    <x v="6"/>
    <s v="2017_0.125_St Hubert"/>
    <s v="Preliminary"/>
    <n v="0"/>
    <s v="Coastal"/>
    <n v="6.25E-2"/>
  </r>
  <r>
    <s v="Zebilla SHTS"/>
    <s v="Zebilla Senior High Technical School"/>
    <x v="10"/>
    <x v="1"/>
    <x v="3"/>
    <n v="11"/>
    <n v="3"/>
    <x v="6"/>
    <s v="2017_0.125_St Hubert"/>
    <s v="Preliminary"/>
    <n v="0"/>
    <s v="Northern"/>
    <n v="4.1666666666666664E-2"/>
  </r>
  <r>
    <s v="Presec Legon"/>
    <s v="Presbyterian Boys' Senior High School"/>
    <x v="0"/>
    <x v="0"/>
    <x v="3"/>
    <n v="45"/>
    <n v="1"/>
    <x v="6"/>
    <s v="2017_0.125_Presec Legon"/>
    <s v="Preliminary"/>
    <n v="1"/>
    <s v="Coastal"/>
    <n v="0.125"/>
  </r>
  <r>
    <s v="St Johns Grammar"/>
    <s v="St Johns Grammar Senior High School"/>
    <x v="0"/>
    <x v="1"/>
    <x v="3"/>
    <n v="31"/>
    <n v="2"/>
    <x v="6"/>
    <s v="2017_0.125_Presec Legon"/>
    <s v="Preliminary"/>
    <n v="0"/>
    <s v="Coastal"/>
    <n v="6.25E-2"/>
  </r>
  <r>
    <s v="Accra Aca"/>
    <s v="Accra Academy"/>
    <x v="0"/>
    <x v="0"/>
    <x v="3"/>
    <n v="26"/>
    <n v="3"/>
    <x v="6"/>
    <s v="2017_0.125_Presec Legon"/>
    <s v="Preliminary"/>
    <n v="0"/>
    <s v="Coastal"/>
    <n v="4.1666666666666664E-2"/>
  </r>
  <r>
    <s v="Keta"/>
    <s v="Keta Senior High Technical School"/>
    <x v="3"/>
    <x v="1"/>
    <x v="3"/>
    <n v="52"/>
    <n v="1"/>
    <x v="6"/>
    <s v="2017_0.125_Keta"/>
    <s v="Preliminary"/>
    <n v="1"/>
    <s v="Coastal"/>
    <n v="0.125"/>
  </r>
  <r>
    <s v="Owass"/>
    <s v="Opoku Ware Senior High School"/>
    <x v="1"/>
    <x v="0"/>
    <x v="3"/>
    <n v="37"/>
    <n v="2"/>
    <x v="6"/>
    <s v="2017_0.125_Keta"/>
    <s v="Preliminary"/>
    <n v="0"/>
    <s v="Middle Belt"/>
    <n v="6.25E-2"/>
  </r>
  <r>
    <s v="Drobo"/>
    <s v="Drobo Senior High School"/>
    <x v="6"/>
    <x v="1"/>
    <x v="3"/>
    <n v="15"/>
    <n v="3"/>
    <x v="6"/>
    <s v="2017_0.125_Keta"/>
    <s v="Preliminary"/>
    <n v="0"/>
    <s v="Middle Belt"/>
    <n v="4.1666666666666664E-2"/>
  </r>
  <r>
    <s v="Jachie Pramso"/>
    <s v="Jachie-Pramso Senior High School"/>
    <x v="1"/>
    <x v="1"/>
    <x v="3"/>
    <n v="35"/>
    <n v="1"/>
    <x v="6"/>
    <s v="2017_0.125_Jachie Pramso"/>
    <s v="Preliminary"/>
    <n v="1"/>
    <s v="Middle Belt"/>
    <n v="0.125"/>
  </r>
  <r>
    <s v="Zion College"/>
    <s v="Zion College, Anloga"/>
    <x v="3"/>
    <x v="1"/>
    <x v="3"/>
    <n v="34"/>
    <n v="2"/>
    <x v="6"/>
    <s v="2017_0.125_Jachie Pramso"/>
    <s v="Preliminary"/>
    <n v="0"/>
    <s v="Coastal"/>
    <n v="6.25E-2"/>
  </r>
  <r>
    <s v="PJ"/>
    <s v="Pope John Senior High School and Minor Seminary"/>
    <x v="4"/>
    <x v="0"/>
    <x v="3"/>
    <n v="29"/>
    <n v="3"/>
    <x v="6"/>
    <s v="2017_0.125_Jachie Pramso"/>
    <s v="Preliminary"/>
    <n v="0"/>
    <s v="Middle Belt"/>
    <n v="4.1666666666666664E-2"/>
  </r>
  <r>
    <s v="Kuhis"/>
    <s v="Kumasi High School"/>
    <x v="1"/>
    <x v="0"/>
    <x v="3"/>
    <n v="49"/>
    <n v="1"/>
    <x v="6"/>
    <s v="2017_0.125_Kuhis"/>
    <s v="Preliminary"/>
    <n v="1"/>
    <s v="Middle Belt"/>
    <n v="0.125"/>
  </r>
  <r>
    <s v="St Paul SHS, Denu"/>
    <s v="St Paul's Senior High School, Denu "/>
    <x v="3"/>
    <x v="0"/>
    <x v="3"/>
    <n v="26"/>
    <n v="2"/>
    <x v="6"/>
    <s v="2017_0.125_Kuhis"/>
    <s v="Preliminary"/>
    <n v="0"/>
    <s v="Coastal"/>
    <n v="6.25E-2"/>
  </r>
  <r>
    <s v="Simms"/>
    <s v="Simms Senior High School"/>
    <x v="1"/>
    <x v="1"/>
    <x v="3"/>
    <n v="15"/>
    <n v="3"/>
    <x v="6"/>
    <s v="2017_0.125_Kuhis"/>
    <s v="Preliminary"/>
    <n v="0"/>
    <s v="Middle Belt"/>
    <n v="4.1666666666666664E-2"/>
  </r>
  <r>
    <s v="TI Amass Fomena"/>
    <s v="TI Ahmadiyya Senior High School, Fomena"/>
    <x v="1"/>
    <x v="1"/>
    <x v="3"/>
    <n v="36"/>
    <n v="1"/>
    <x v="6"/>
    <s v="2017_0.125_TI Amass Fomena"/>
    <s v="Preliminary"/>
    <n v="1"/>
    <s v="Middle Belt"/>
    <n v="0.125"/>
  </r>
  <r>
    <s v="Ada SHS"/>
    <s v="Ada Senior High School"/>
    <x v="0"/>
    <x v="1"/>
    <x v="3"/>
    <n v="27"/>
    <n v="2"/>
    <x v="6"/>
    <s v="2017_0.125_TI Amass Fomena"/>
    <s v="Preliminary"/>
    <n v="0"/>
    <s v="Coastal"/>
    <n v="6.25E-2"/>
  </r>
  <r>
    <s v="Kwanyako"/>
    <s v="Kwanyako Senior High Technical School"/>
    <x v="2"/>
    <x v="1"/>
    <x v="3"/>
    <n v="28"/>
    <n v="3"/>
    <x v="6"/>
    <s v="2017_0.125_TI Amass Fomena"/>
    <s v="Preliminary"/>
    <n v="0"/>
    <s v="Coastal"/>
    <n v="4.1666666666666664E-2"/>
  </r>
  <r>
    <s v="Wegehey"/>
    <s v="Wesley Girls' Senior High School"/>
    <x v="2"/>
    <x v="2"/>
    <x v="3"/>
    <n v="41"/>
    <n v="1"/>
    <x v="6"/>
    <s v="2017_0.125_Wegehey"/>
    <s v="Preliminary"/>
    <n v="1"/>
    <s v="Coastal"/>
    <n v="0.125"/>
  </r>
  <r>
    <s v="Accra High"/>
    <s v="Accra High School"/>
    <x v="0"/>
    <x v="1"/>
    <x v="3"/>
    <n v="27"/>
    <n v="2"/>
    <x v="6"/>
    <s v="2017_0.125_Wegehey"/>
    <s v="Preliminary"/>
    <n v="0"/>
    <s v="Coastal"/>
    <n v="6.25E-2"/>
  </r>
  <r>
    <s v="St Charles"/>
    <s v="St. Charles Minor Seminary / Senior High School"/>
    <x v="7"/>
    <x v="0"/>
    <x v="3"/>
    <n v="15"/>
    <n v="3"/>
    <x v="6"/>
    <s v="2017_0.125_Wegehey"/>
    <s v="Preliminary"/>
    <n v="0"/>
    <s v="Northern"/>
    <n v="4.1666666666666664E-2"/>
  </r>
  <r>
    <s v="Adisco"/>
    <s v="Adisadel College"/>
    <x v="2"/>
    <x v="0"/>
    <x v="3"/>
    <n v="64"/>
    <n v="1"/>
    <x v="6"/>
    <s v="2017_0.125_Adisco"/>
    <s v="Preliminary"/>
    <n v="1"/>
    <s v="Coastal"/>
    <n v="0.125"/>
  </r>
  <r>
    <s v="Nkroful Agric"/>
    <s v="Nkroful Agricultural Senior High School"/>
    <x v="5"/>
    <x v="1"/>
    <x v="3"/>
    <n v="26"/>
    <n v="2"/>
    <x v="6"/>
    <s v="2017_0.125_Adisco"/>
    <s v="Preliminary"/>
    <n v="0"/>
    <s v="Coastal"/>
    <n v="6.25E-2"/>
  </r>
  <r>
    <s v="Suhum SHTS"/>
    <s v="Suhum Senior High Technical School"/>
    <x v="4"/>
    <x v="1"/>
    <x v="3"/>
    <n v="24"/>
    <n v="3"/>
    <x v="6"/>
    <s v="2017_0.125_Adisco"/>
    <s v="Preliminary"/>
    <n v="0"/>
    <s v="Middle Belt"/>
    <n v="4.1666666666666664E-2"/>
  </r>
  <r>
    <s v="New Juaben SHS"/>
    <s v="New Juaben SHS Senior High School"/>
    <x v="4"/>
    <x v="1"/>
    <x v="3"/>
    <n v="52"/>
    <n v="1"/>
    <x v="6"/>
    <s v="2017_0.125_New Juaben SHS"/>
    <s v="Preliminary"/>
    <n v="1"/>
    <s v="Middle Belt"/>
    <n v="0.125"/>
  </r>
  <r>
    <s v="Akwamuman"/>
    <s v="Akwamuman Senior High School"/>
    <x v="4"/>
    <x v="1"/>
    <x v="3"/>
    <n v="38"/>
    <n v="2"/>
    <x v="6"/>
    <s v="2017_0.125_New Juaben SHS"/>
    <s v="Preliminary"/>
    <n v="0"/>
    <s v="Middle Belt"/>
    <n v="6.25E-2"/>
  </r>
  <r>
    <s v="Mfantsiman"/>
    <s v="Mfantsiman Senior High School"/>
    <x v="2"/>
    <x v="2"/>
    <x v="3"/>
    <n v="31"/>
    <n v="3"/>
    <x v="6"/>
    <s v="2017_0.125_New Juaben SHS"/>
    <s v="Preliminary"/>
    <n v="0"/>
    <s v="Coastal"/>
    <n v="4.1666666666666664E-2"/>
  </r>
  <r>
    <s v="Takoradi SHS"/>
    <s v="Takoradi Senior High School"/>
    <x v="5"/>
    <x v="1"/>
    <x v="3"/>
    <n v="32"/>
    <n v="1"/>
    <x v="6"/>
    <s v="2017_0.125_Takoradi SHS"/>
    <s v="Preliminary"/>
    <n v="1"/>
    <s v="Coastal"/>
    <n v="0.125"/>
  </r>
  <r>
    <s v="Benkum SHS"/>
    <s v="Benkum Senior High School"/>
    <x v="4"/>
    <x v="1"/>
    <x v="3"/>
    <n v="29"/>
    <n v="2"/>
    <x v="6"/>
    <s v="2017_0.125_Takoradi SHS"/>
    <s v="Preliminary"/>
    <n v="0"/>
    <s v="Middle Belt"/>
    <n v="6.25E-2"/>
  </r>
  <r>
    <s v="Ogua SHTS"/>
    <s v="Ogua Senior High Technical School"/>
    <x v="2"/>
    <x v="1"/>
    <x v="3"/>
    <n v="21"/>
    <n v="3"/>
    <x v="6"/>
    <s v="2017_0.125_Takoradi SHS"/>
    <s v="Preliminary"/>
    <n v="0"/>
    <s v="Coastal"/>
    <n v="4.1666666666666664E-2"/>
  </r>
  <r>
    <s v="Unipra"/>
    <s v="University Practice Senior High School"/>
    <x v="2"/>
    <x v="1"/>
    <x v="3"/>
    <n v="54"/>
    <n v="1"/>
    <x v="6"/>
    <s v="2017_0.125_Unipra"/>
    <s v="Preliminary"/>
    <n v="1"/>
    <s v="Coastal"/>
    <n v="0.125"/>
  </r>
  <r>
    <s v="Ola SHS"/>
    <s v="OLA Girls' Senior High School"/>
    <x v="3"/>
    <x v="2"/>
    <x v="3"/>
    <n v="29"/>
    <n v="2"/>
    <x v="6"/>
    <s v="2017_0.125_Unipra"/>
    <s v="Preliminary"/>
    <n v="0"/>
    <s v="Coastal"/>
    <n v="6.25E-2"/>
  </r>
  <r>
    <s v="Bolgatanga SHS"/>
    <s v="Bolgatanga Senior High School"/>
    <x v="10"/>
    <x v="1"/>
    <x v="3"/>
    <n v="22"/>
    <n v="3"/>
    <x v="6"/>
    <s v="2017_0.125_Unipra"/>
    <s v="Preliminary"/>
    <n v="0"/>
    <s v="Northern"/>
    <n v="4.1666666666666664E-2"/>
  </r>
  <r>
    <s v="Tamale SHS"/>
    <s v="Tamale SHS Senior High School"/>
    <x v="7"/>
    <x v="1"/>
    <x v="3"/>
    <n v="49"/>
    <n v="1"/>
    <x v="6"/>
    <s v="2017_0.125_Tamale SHS"/>
    <s v="Preliminary"/>
    <n v="1"/>
    <s v="Northern"/>
    <n v="0.125"/>
  </r>
  <r>
    <s v="Edinaman SHS"/>
    <s v="Edinaman Senior High School"/>
    <x v="2"/>
    <x v="1"/>
    <x v="3"/>
    <n v="44"/>
    <n v="2"/>
    <x v="6"/>
    <s v="2017_0.125_Tamale SHS"/>
    <s v="Preliminary"/>
    <n v="0"/>
    <s v="Coastal"/>
    <n v="6.25E-2"/>
  </r>
  <r>
    <s v="Osei Tutu"/>
    <s v="Osei Tutu Senior High School"/>
    <x v="1"/>
    <x v="0"/>
    <x v="3"/>
    <n v="39"/>
    <n v="3"/>
    <x v="6"/>
    <s v="2017_0.125_Tamale SHS"/>
    <s v="Preliminary"/>
    <n v="0"/>
    <s v="Middle Belt"/>
    <n v="4.1666666666666664E-2"/>
  </r>
  <r>
    <s v="KNUST SHS"/>
    <s v="KNUST Senior High School"/>
    <x v="1"/>
    <x v="1"/>
    <x v="3"/>
    <n v="44"/>
    <n v="1"/>
    <x v="6"/>
    <s v="2017_0.125_KNUST SHS"/>
    <s v="Preliminary"/>
    <n v="1"/>
    <s v="Middle Belt"/>
    <n v="0.125"/>
  </r>
  <r>
    <s v="KOSS"/>
    <s v="Konongo Odumase Senior High School"/>
    <x v="1"/>
    <x v="1"/>
    <x v="3"/>
    <n v="22"/>
    <n v="2"/>
    <x v="6"/>
    <s v="2017_0.125_KNUST SHS"/>
    <s v="Preliminary"/>
    <n v="0"/>
    <s v="Middle Belt"/>
    <n v="6.25E-2"/>
  </r>
  <r>
    <s v="Adidome SHS"/>
    <s v="Adidome Senior High School"/>
    <x v="3"/>
    <x v="1"/>
    <x v="3"/>
    <n v="11"/>
    <n v="3"/>
    <x v="6"/>
    <s v="2017_0.125_KNUST SHS"/>
    <s v="Preliminary"/>
    <n v="0"/>
    <s v="Coastal"/>
    <n v="4.1666666666666664E-2"/>
  </r>
  <r>
    <s v="Ghana National"/>
    <s v="Ghana National College"/>
    <x v="2"/>
    <x v="1"/>
    <x v="3"/>
    <n v="39"/>
    <n v="1"/>
    <x v="6"/>
    <s v="2017_0.125_Ghana National"/>
    <s v="Preliminary"/>
    <n v="1"/>
    <s v="Coastal"/>
    <n v="0.125"/>
  </r>
  <r>
    <s v="Armed Forces"/>
    <s v="Armed Forces Senior High Technical School"/>
    <x v="1"/>
    <x v="1"/>
    <x v="3"/>
    <n v="32"/>
    <n v="2"/>
    <x v="6"/>
    <s v="2017_0.125_Ghana National"/>
    <s v="Preliminary"/>
    <n v="0"/>
    <s v="Middle Belt"/>
    <n v="6.25E-2"/>
  </r>
  <r>
    <s v="OKESS"/>
    <s v="Osei Kyeretwie Senior High School"/>
    <x v="1"/>
    <x v="1"/>
    <x v="3"/>
    <n v="29"/>
    <n v="3"/>
    <x v="6"/>
    <s v="2017_0.125_Ghana National"/>
    <s v="Preliminary"/>
    <n v="0"/>
    <s v="Middle Belt"/>
    <n v="4.1666666666666664E-2"/>
  </r>
  <r>
    <s v="Porters"/>
    <s v="Archbishop Porter Girls' Senior High School"/>
    <x v="5"/>
    <x v="2"/>
    <x v="3"/>
    <n v="43"/>
    <n v="1"/>
    <x v="6"/>
    <s v="2017_0.125_Porters"/>
    <s v="Preliminary"/>
    <n v="1"/>
    <s v="Coastal"/>
    <n v="0.125"/>
  </r>
  <r>
    <s v="Tema SHS"/>
    <s v="Tema Senior High School"/>
    <x v="0"/>
    <x v="1"/>
    <x v="3"/>
    <n v="25"/>
    <n v="2"/>
    <x v="6"/>
    <s v="2017_0.125_Porters"/>
    <s v="Preliminary"/>
    <n v="0"/>
    <s v="Coastal"/>
    <n v="6.25E-2"/>
  </r>
  <r>
    <s v="Kintampo"/>
    <s v="Kintampo Senior High School"/>
    <x v="9"/>
    <x v="1"/>
    <x v="3"/>
    <n v="8"/>
    <n v="3"/>
    <x v="6"/>
    <s v="2017_0.125_Porters"/>
    <s v="Preliminary"/>
    <n v="0"/>
    <s v="Middle Belt"/>
    <n v="4.1666666666666664E-2"/>
  </r>
  <r>
    <s v="Aburi Girls"/>
    <s v="Aburi Girls' Senior High School"/>
    <x v="4"/>
    <x v="2"/>
    <x v="3"/>
    <n v="42"/>
    <n v="1"/>
    <x v="6"/>
    <s v="2017_0.125_Aburi Girls"/>
    <s v="Preliminary"/>
    <n v="1"/>
    <s v="Middle Belt"/>
    <n v="1"/>
  </r>
  <r>
    <s v="Kumaca"/>
    <s v="Kumasi Academy"/>
    <x v="1"/>
    <x v="1"/>
    <x v="3"/>
    <n v="29"/>
    <n v="2"/>
    <x v="6"/>
    <s v="2017_0.125_Aburi Girls"/>
    <s v="Preliminary"/>
    <n v="0"/>
    <s v="Middle Belt"/>
    <n v="0.5"/>
  </r>
  <r>
    <s v="SDA Bekwai"/>
    <s v="SDA Senior High School, Bekwai"/>
    <x v="1"/>
    <x v="1"/>
    <x v="3"/>
    <n v="26"/>
    <n v="3"/>
    <x v="6"/>
    <s v="2017_0.125_Aburi Girls"/>
    <s v="Preliminary"/>
    <n v="0"/>
    <s v="Middle Belt"/>
    <n v="0.33333333333333331"/>
  </r>
  <r>
    <s v="Adisco"/>
    <s v="Adisadel College"/>
    <x v="2"/>
    <x v="0"/>
    <x v="0"/>
    <n v="44"/>
    <n v="1"/>
    <x v="7"/>
    <s v="2016_1.0_Adisco"/>
    <s v="Final"/>
    <n v="1"/>
    <s v="Coastal"/>
    <n v="0.5"/>
  </r>
  <r>
    <s v="Owass"/>
    <s v="Opoku Ware Senior High School"/>
    <x v="1"/>
    <x v="0"/>
    <x v="0"/>
    <n v="38"/>
    <n v="2"/>
    <x v="7"/>
    <s v="2016_1.0_Adisco"/>
    <s v="Final"/>
    <n v="0"/>
    <s v="Middle Belt"/>
    <n v="0.25"/>
  </r>
  <r>
    <s v="Mfantsipim"/>
    <s v="Mfantsipim School"/>
    <x v="2"/>
    <x v="0"/>
    <x v="0"/>
    <n v="37"/>
    <n v="3"/>
    <x v="7"/>
    <s v="2016_1.0_Adisco"/>
    <s v="Final"/>
    <n v="0"/>
    <s v="Coastal"/>
    <n v="0.16666666666666666"/>
  </r>
  <r>
    <s v="Adisco"/>
    <s v="Adisadel College"/>
    <x v="2"/>
    <x v="0"/>
    <x v="1"/>
    <n v="44"/>
    <n v="1"/>
    <x v="7"/>
    <s v="2016_0.5_Adisco"/>
    <s v="Semifinal"/>
    <n v="1"/>
    <s v="Coastal"/>
    <n v="0.5"/>
  </r>
  <r>
    <s v="Accra Aca"/>
    <s v="Accra Academy"/>
    <x v="0"/>
    <x v="0"/>
    <x v="1"/>
    <n v="40"/>
    <n v="2"/>
    <x v="7"/>
    <s v="2016_0.5_Adisco"/>
    <s v="Semifinal"/>
    <n v="0"/>
    <s v="Coastal"/>
    <n v="0.25"/>
  </r>
  <r>
    <s v="Kumasi sectec"/>
    <s v="Kumasi Senior High Technical School"/>
    <x v="1"/>
    <x v="1"/>
    <x v="1"/>
    <n v="31"/>
    <n v="3"/>
    <x v="7"/>
    <s v="2016_0.5_Adisco"/>
    <s v="Semifinal"/>
    <n v="0"/>
    <s v="Middle Belt"/>
    <n v="0.16666666666666666"/>
  </r>
  <r>
    <s v="Owass"/>
    <s v="Opoku Ware Senior High School"/>
    <x v="1"/>
    <x v="0"/>
    <x v="1"/>
    <n v="56"/>
    <n v="1"/>
    <x v="7"/>
    <s v="2016_0.5_Owass"/>
    <s v="Semifinal"/>
    <n v="1"/>
    <s v="Middle Belt"/>
    <n v="0.5"/>
  </r>
  <r>
    <s v="Kuhis"/>
    <s v="Kumasi High School"/>
    <x v="1"/>
    <x v="0"/>
    <x v="1"/>
    <n v="53"/>
    <n v="2"/>
    <x v="7"/>
    <s v="2016_0.5_Owass"/>
    <s v="Semifinal"/>
    <n v="0"/>
    <s v="Middle Belt"/>
    <n v="0.25"/>
  </r>
  <r>
    <s v="St Hubert"/>
    <s v="St. Hubert Seminary Senior High School"/>
    <x v="1"/>
    <x v="0"/>
    <x v="1"/>
    <n v="34"/>
    <n v="3"/>
    <x v="7"/>
    <s v="2016_0.5_Owass"/>
    <s v="Semifinal"/>
    <n v="0"/>
    <s v="Middle Belt"/>
    <n v="0.16666666666666666"/>
  </r>
  <r>
    <s v="Mfantsipim"/>
    <s v="Mfantsipim School"/>
    <x v="2"/>
    <x v="0"/>
    <x v="1"/>
    <n v="54"/>
    <n v="1"/>
    <x v="7"/>
    <s v="2016_0.5_Mfantsipim"/>
    <s v="Semifinal"/>
    <n v="1"/>
    <s v="Coastal"/>
    <n v="0.25"/>
  </r>
  <r>
    <s v="Aquinas"/>
    <s v="St. Thomas Aquinas Senior High School"/>
    <x v="0"/>
    <x v="0"/>
    <x v="1"/>
    <n v="47"/>
    <n v="2"/>
    <x v="7"/>
    <s v="2016_0.5_Mfantsipim"/>
    <s v="Semifinal"/>
    <n v="0"/>
    <s v="Coastal"/>
    <n v="0.125"/>
  </r>
  <r>
    <s v="Ghana National"/>
    <s v="Ghana National College"/>
    <x v="2"/>
    <x v="1"/>
    <x v="1"/>
    <n v="25"/>
    <n v="3"/>
    <x v="7"/>
    <s v="2016_0.5_Mfantsipim"/>
    <s v="Semifinal"/>
    <n v="0"/>
    <s v="Coastal"/>
    <n v="8.3333333333333329E-2"/>
  </r>
  <r>
    <s v="Adisco"/>
    <s v="Adisadel College"/>
    <x v="2"/>
    <x v="0"/>
    <x v="2"/>
    <n v="49"/>
    <n v="1"/>
    <x v="7"/>
    <s v="2016_0.25_Adisco"/>
    <s v="Quarterfinal"/>
    <n v="1"/>
    <s v="Coastal"/>
    <n v="0.25"/>
  </r>
  <r>
    <s v="Tamale SHS"/>
    <s v="Tamale SHS Senior High School"/>
    <x v="7"/>
    <x v="1"/>
    <x v="2"/>
    <n v="43"/>
    <n v="2"/>
    <x v="7"/>
    <s v="2016_0.25_Adisco"/>
    <s v="Quarterfinal"/>
    <n v="0"/>
    <s v="Northern"/>
    <n v="0.125"/>
  </r>
  <r>
    <s v="Benkum SHS"/>
    <s v="Benkum Senior High School"/>
    <x v="4"/>
    <x v="1"/>
    <x v="2"/>
    <n v="36"/>
    <n v="3"/>
    <x v="7"/>
    <s v="2016_0.25_Adisco"/>
    <s v="Quarterfinal"/>
    <n v="0"/>
    <s v="Middle Belt"/>
    <n v="8.3333333333333329E-2"/>
  </r>
  <r>
    <s v="Accra Aca"/>
    <s v="Accra Academy"/>
    <x v="0"/>
    <x v="0"/>
    <x v="2"/>
    <n v="60"/>
    <n v="1"/>
    <x v="7"/>
    <s v="2016_0.25_Accra Aca"/>
    <s v="Quarterfinal"/>
    <n v="1"/>
    <s v="Coastal"/>
    <n v="0.25"/>
  </r>
  <r>
    <s v="SDA Bekwai"/>
    <s v="SDA Senior High School, Bekwai"/>
    <x v="1"/>
    <x v="1"/>
    <x v="2"/>
    <n v="40"/>
    <n v="2"/>
    <x v="7"/>
    <s v="2016_0.25_Accra Aca"/>
    <s v="Quarterfinal"/>
    <n v="0"/>
    <s v="Middle Belt"/>
    <n v="0.125"/>
  </r>
  <r>
    <s v="Sekondi College"/>
    <s v="Sekondi College Senior High School"/>
    <x v="5"/>
    <x v="1"/>
    <x v="2"/>
    <n v="38"/>
    <n v="3"/>
    <x v="7"/>
    <s v="2016_0.25_Accra Aca"/>
    <s v="Quarterfinal"/>
    <n v="0"/>
    <s v="Coastal"/>
    <n v="8.3333333333333329E-2"/>
  </r>
  <r>
    <s v="Kumasi sectec"/>
    <s v="Kumasi Senior High Technical School"/>
    <x v="1"/>
    <x v="1"/>
    <x v="2"/>
    <n v="66"/>
    <n v="1"/>
    <x v="7"/>
    <s v="2016_0.25_Kumasi sectec"/>
    <s v="Quarterfinal"/>
    <n v="1"/>
    <s v="Middle Belt"/>
    <n v="0.25"/>
  </r>
  <r>
    <s v="KNUST SHS"/>
    <s v="KNUST Senior High School"/>
    <x v="1"/>
    <x v="1"/>
    <x v="2"/>
    <n v="39"/>
    <n v="2"/>
    <x v="7"/>
    <s v="2016_0.25_Kumasi sectec"/>
    <s v="Quarterfinal"/>
    <n v="0"/>
    <s v="Middle Belt"/>
    <n v="0.125"/>
  </r>
  <r>
    <s v="Kintampo"/>
    <s v="Kintampo Senior High School"/>
    <x v="9"/>
    <x v="1"/>
    <x v="2"/>
    <n v="39"/>
    <n v="3"/>
    <x v="7"/>
    <s v="2016_0.25_Kumasi sectec"/>
    <s v="Quarterfinal"/>
    <n v="0"/>
    <s v="Middle Belt"/>
    <n v="8.3333333333333329E-2"/>
  </r>
  <r>
    <s v="Owass"/>
    <s v="Opoku Ware Senior High School"/>
    <x v="1"/>
    <x v="0"/>
    <x v="2"/>
    <n v="54"/>
    <n v="1"/>
    <x v="7"/>
    <s v="2016_0.25_Owass"/>
    <s v="Quarterfinal"/>
    <n v="1"/>
    <s v="Middle Belt"/>
    <n v="0.25"/>
  </r>
  <r>
    <s v="Ada SHS"/>
    <s v="Ada Senior High School"/>
    <x v="0"/>
    <x v="1"/>
    <x v="2"/>
    <n v="43"/>
    <n v="2"/>
    <x v="7"/>
    <s v="2016_0.25_Owass"/>
    <s v="Quarterfinal"/>
    <n v="0"/>
    <s v="Coastal"/>
    <n v="0.125"/>
  </r>
  <r>
    <s v="GSTS"/>
    <s v="Ghana Secondary Technical School"/>
    <x v="5"/>
    <x v="0"/>
    <x v="2"/>
    <n v="31"/>
    <n v="3"/>
    <x v="7"/>
    <s v="2016_0.25_Owass"/>
    <s v="Quarterfinal"/>
    <n v="0"/>
    <s v="Coastal"/>
    <n v="8.3333333333333329E-2"/>
  </r>
  <r>
    <s v="Kuhis"/>
    <s v="Kumasi High School"/>
    <x v="1"/>
    <x v="0"/>
    <x v="2"/>
    <n v="47"/>
    <n v="1"/>
    <x v="7"/>
    <s v="2016_0.25_Kuhis"/>
    <s v="Quarterfinal"/>
    <n v="1"/>
    <s v="Middle Belt"/>
    <n v="0.25"/>
  </r>
  <r>
    <s v="Koforidua Sec Tech"/>
    <s v="Koforidua Sec Tech Senior High School"/>
    <x v="4"/>
    <x v="0"/>
    <x v="2"/>
    <n v="46"/>
    <n v="2"/>
    <x v="7"/>
    <s v="2016_0.25_Kuhis"/>
    <s v="Quarterfinal"/>
    <n v="0"/>
    <s v="Middle Belt"/>
    <n v="0.125"/>
  </r>
  <r>
    <s v="Nifa SHS"/>
    <s v="Nifa SHS Senior High School"/>
    <x v="4"/>
    <x v="1"/>
    <x v="2"/>
    <n v="39"/>
    <n v="3"/>
    <x v="7"/>
    <s v="2016_0.25_Kuhis"/>
    <s v="Quarterfinal"/>
    <n v="0"/>
    <s v="Middle Belt"/>
    <n v="8.3333333333333329E-2"/>
  </r>
  <r>
    <s v="St Hubert"/>
    <s v="St. Hubert Seminary Senior High School"/>
    <x v="1"/>
    <x v="0"/>
    <x v="2"/>
    <n v="46"/>
    <n v="1"/>
    <x v="7"/>
    <s v="2016_0.25_St Hubert"/>
    <s v="Quarterfinal"/>
    <n v="1"/>
    <s v="Middle Belt"/>
    <n v="0.25"/>
  </r>
  <r>
    <s v="Unipra"/>
    <s v="University Practice Senior High School"/>
    <x v="2"/>
    <x v="1"/>
    <x v="2"/>
    <n v="44"/>
    <n v="2"/>
    <x v="7"/>
    <s v="2016_0.25_St Hubert"/>
    <s v="Quarterfinal"/>
    <n v="0"/>
    <s v="Coastal"/>
    <n v="0.125"/>
  </r>
  <r>
    <s v="WASS"/>
    <s v="West Africa Senior High School"/>
    <x v="0"/>
    <x v="1"/>
    <x v="2"/>
    <n v="42"/>
    <n v="3"/>
    <x v="7"/>
    <s v="2016_0.25_St Hubert"/>
    <s v="Quarterfinal"/>
    <n v="0"/>
    <s v="Coastal"/>
    <n v="8.3333333333333329E-2"/>
  </r>
  <r>
    <s v="Mfantsipim"/>
    <s v="Mfantsipim School"/>
    <x v="2"/>
    <x v="0"/>
    <x v="2"/>
    <n v="64"/>
    <n v="1"/>
    <x v="7"/>
    <s v="2016_0.25_Mfantsipim"/>
    <s v="Quarterfinal"/>
    <n v="1"/>
    <s v="Coastal"/>
    <n v="0.25"/>
  </r>
  <r>
    <s v="Prempeh"/>
    <s v="Prempeh College"/>
    <x v="1"/>
    <x v="0"/>
    <x v="2"/>
    <n v="61"/>
    <n v="2"/>
    <x v="7"/>
    <s v="2016_0.25_Mfantsipim"/>
    <s v="Quarterfinal"/>
    <n v="0"/>
    <s v="Middle Belt"/>
    <n v="0.125"/>
  </r>
  <r>
    <s v="Wegehey"/>
    <s v="Wesley Girls' Senior High School"/>
    <x v="2"/>
    <x v="2"/>
    <x v="2"/>
    <n v="52"/>
    <n v="3"/>
    <x v="7"/>
    <s v="2016_0.25_Mfantsipim"/>
    <s v="Quarterfinal"/>
    <n v="0"/>
    <s v="Coastal"/>
    <n v="8.3333333333333329E-2"/>
  </r>
  <r>
    <s v="Aquinas"/>
    <s v="St. Thomas Aquinas Senior High School"/>
    <x v="0"/>
    <x v="0"/>
    <x v="2"/>
    <n v="58"/>
    <n v="1"/>
    <x v="7"/>
    <s v="2016_0.25_Aquinas"/>
    <s v="Quarterfinal"/>
    <n v="1"/>
    <s v="Coastal"/>
    <n v="0.25"/>
  </r>
  <r>
    <s v="Mfantsiman"/>
    <s v="Mfantsiman Senior High School"/>
    <x v="2"/>
    <x v="2"/>
    <x v="2"/>
    <n v="32"/>
    <n v="2"/>
    <x v="7"/>
    <s v="2016_0.25_Aquinas"/>
    <s v="Quarterfinal"/>
    <n v="0"/>
    <s v="Coastal"/>
    <n v="0.125"/>
  </r>
  <r>
    <s v="Aggrey Memorial Zion SHS"/>
    <s v="Aggrey Memorial AME Zion Senior High"/>
    <x v="2"/>
    <x v="1"/>
    <x v="2"/>
    <n v="30"/>
    <n v="3"/>
    <x v="7"/>
    <s v="2016_0.25_Aquinas"/>
    <s v="Quarterfinal"/>
    <n v="0"/>
    <s v="Coastal"/>
    <n v="8.3333333333333329E-2"/>
  </r>
  <r>
    <s v="Ghana National"/>
    <s v="Ghana National College"/>
    <x v="2"/>
    <x v="1"/>
    <x v="2"/>
    <n v="47"/>
    <n v="1"/>
    <x v="7"/>
    <s v="2016_0.25_Ghana National"/>
    <s v="Quarterfinal"/>
    <n v="1"/>
    <s v="Coastal"/>
    <n v="0.125"/>
  </r>
  <r>
    <s v="Presby SHTS Aburi"/>
    <s v="Aburi Presbyterian Senior High Technical School"/>
    <x v="4"/>
    <x v="1"/>
    <x v="2"/>
    <n v="42"/>
    <n v="2"/>
    <x v="7"/>
    <s v="2016_0.25_Ghana National"/>
    <s v="Quarterfinal"/>
    <n v="0"/>
    <s v="Middle Belt"/>
    <n v="6.25E-2"/>
  </r>
  <r>
    <s v="PJ"/>
    <s v="Pope John Senior High School and Minor Seminary"/>
    <x v="4"/>
    <x v="0"/>
    <x v="2"/>
    <n v="35"/>
    <n v="3"/>
    <x v="7"/>
    <s v="2016_0.25_Ghana National"/>
    <s v="Quarterfinal"/>
    <n v="0"/>
    <s v="Middle Belt"/>
    <n v="4.1666666666666664E-2"/>
  </r>
  <r>
    <s v="PJ"/>
    <s v="Pope John Senior High School and Minor Seminary"/>
    <x v="4"/>
    <x v="0"/>
    <x v="3"/>
    <n v="52"/>
    <n v="1"/>
    <x v="7"/>
    <s v="2016_0.125_PJ"/>
    <s v="Preliminary"/>
    <n v="1"/>
    <s v="Middle Belt"/>
    <n v="0.125"/>
  </r>
  <r>
    <s v="Augusco"/>
    <s v="St. Augustine's College"/>
    <x v="2"/>
    <x v="0"/>
    <x v="3"/>
    <n v="35"/>
    <n v="2"/>
    <x v="7"/>
    <s v="2016_0.125_PJ"/>
    <s v="Preliminary"/>
    <n v="0"/>
    <s v="Coastal"/>
    <n v="6.25E-2"/>
  </r>
  <r>
    <s v="Akwamuman"/>
    <s v="Akwamuman Senior High School"/>
    <x v="4"/>
    <x v="1"/>
    <x v="3"/>
    <n v="29"/>
    <n v="3"/>
    <x v="7"/>
    <s v="2016_0.125_PJ"/>
    <s v="Preliminary"/>
    <n v="0"/>
    <s v="Middle Belt"/>
    <n v="4.1666666666666664E-2"/>
  </r>
  <r>
    <s v="Adisco"/>
    <s v="Adisadel College"/>
    <x v="2"/>
    <x v="0"/>
    <x v="3"/>
    <n v="51"/>
    <n v="1"/>
    <x v="7"/>
    <s v="2016_0.125_Adisco"/>
    <s v="Preliminary"/>
    <n v="1"/>
    <s v="Coastal"/>
    <n v="0.125"/>
  </r>
  <r>
    <s v="Tamale Islamic"/>
    <s v="Tamale Islamic Senior High School"/>
    <x v="7"/>
    <x v="1"/>
    <x v="3"/>
    <n v="50"/>
    <n v="2"/>
    <x v="7"/>
    <s v="2016_0.125_Adisco"/>
    <s v="Preliminary"/>
    <n v="0"/>
    <s v="Northern"/>
    <n v="6.25E-2"/>
  </r>
  <r>
    <s v="Dzodze Penyi"/>
    <s v="Dzodze Penyi Senior High School"/>
    <x v="3"/>
    <x v="1"/>
    <x v="3"/>
    <n v="36"/>
    <n v="3"/>
    <x v="7"/>
    <s v="2016_0.125_Adisco"/>
    <s v="Preliminary"/>
    <n v="0"/>
    <s v="Coastal"/>
    <n v="4.1666666666666664E-2"/>
  </r>
  <r>
    <s v="Tamale SHS"/>
    <s v="Tamale SHS Senior High School"/>
    <x v="7"/>
    <x v="1"/>
    <x v="3"/>
    <n v="57"/>
    <n v="1"/>
    <x v="7"/>
    <s v="2016_0.125_Tamale SHS"/>
    <s v="Preliminary"/>
    <n v="1"/>
    <s v="Northern"/>
    <n v="0.125"/>
  </r>
  <r>
    <s v="KASS"/>
    <s v="Anglican Senior High School, Kumasi"/>
    <x v="1"/>
    <x v="1"/>
    <x v="3"/>
    <n v="42"/>
    <n v="2"/>
    <x v="7"/>
    <s v="2016_0.125_Tamale SHS"/>
    <s v="Preliminary"/>
    <n v="0"/>
    <s v="Middle Belt"/>
    <n v="6.25E-2"/>
  </r>
  <r>
    <s v="Armed Forces"/>
    <s v="Armed Forces Senior High Technical School"/>
    <x v="1"/>
    <x v="1"/>
    <x v="3"/>
    <n v="23"/>
    <n v="3"/>
    <x v="7"/>
    <s v="2016_0.125_Tamale SHS"/>
    <s v="Preliminary"/>
    <n v="0"/>
    <s v="Middle Belt"/>
    <n v="4.1666666666666664E-2"/>
  </r>
  <r>
    <s v="Benkum SHS"/>
    <s v="Benkum Senior High School"/>
    <x v="4"/>
    <x v="1"/>
    <x v="3"/>
    <n v="47"/>
    <n v="1"/>
    <x v="7"/>
    <s v="2016_0.125_Benkum SHS"/>
    <s v="Preliminary"/>
    <n v="1"/>
    <s v="Middle Belt"/>
    <n v="0.125"/>
  </r>
  <r>
    <s v="Okuapeman"/>
    <s v="Okuapeman Senior High School"/>
    <x v="4"/>
    <x v="1"/>
    <x v="3"/>
    <n v="43"/>
    <n v="2"/>
    <x v="7"/>
    <s v="2016_0.125_Benkum SHS"/>
    <s v="Preliminary"/>
    <n v="0"/>
    <s v="Middle Belt"/>
    <n v="6.25E-2"/>
  </r>
  <r>
    <s v="Ghana SHS Koforidua"/>
    <s v="Ghana Senior High School, Koforidua"/>
    <x v="4"/>
    <x v="1"/>
    <x v="3"/>
    <n v="32"/>
    <n v="3"/>
    <x v="7"/>
    <s v="2016_0.125_Benkum SHS"/>
    <s v="Preliminary"/>
    <n v="0"/>
    <s v="Middle Belt"/>
    <n v="4.1666666666666664E-2"/>
  </r>
  <r>
    <s v="Accra Aca"/>
    <s v="Accra Academy"/>
    <x v="0"/>
    <x v="0"/>
    <x v="3"/>
    <n v="54"/>
    <n v="1"/>
    <x v="7"/>
    <s v="2016_0.125_Accra Aca"/>
    <s v="Preliminary"/>
    <n v="1"/>
    <s v="Coastal"/>
    <n v="0.125"/>
  </r>
  <r>
    <s v="Techiman SHS"/>
    <s v="Techiman Senior High School"/>
    <x v="9"/>
    <x v="1"/>
    <x v="3"/>
    <n v="44"/>
    <n v="2"/>
    <x v="7"/>
    <s v="2016_0.125_Accra Aca"/>
    <s v="Preliminary"/>
    <n v="0"/>
    <s v="Middle Belt"/>
    <n v="6.25E-2"/>
  </r>
  <r>
    <s v="Awudome SHS"/>
    <s v="Awudome Senior High School"/>
    <x v="3"/>
    <x v="1"/>
    <x v="3"/>
    <n v="34"/>
    <n v="3"/>
    <x v="7"/>
    <s v="2016_0.125_Accra Aca"/>
    <s v="Preliminary"/>
    <n v="0"/>
    <s v="Coastal"/>
    <n v="4.1666666666666664E-2"/>
  </r>
  <r>
    <s v="SDA Bekwai"/>
    <s v="SDA Senior High School, Bekwai"/>
    <x v="1"/>
    <x v="1"/>
    <x v="3"/>
    <n v="55"/>
    <n v="1"/>
    <x v="7"/>
    <s v="2016_0.125_SDA Bekwai"/>
    <s v="Preliminary"/>
    <n v="1"/>
    <s v="Middle Belt"/>
    <n v="0.125"/>
  </r>
  <r>
    <s v="Persco"/>
    <s v="St. Peter's Senior High School"/>
    <x v="4"/>
    <x v="0"/>
    <x v="3"/>
    <n v="35"/>
    <n v="2"/>
    <x v="7"/>
    <s v="2016_0.125_SDA Bekwai"/>
    <s v="Preliminary"/>
    <n v="0"/>
    <s v="Middle Belt"/>
    <n v="6.25E-2"/>
  </r>
  <r>
    <s v="Krogiss"/>
    <s v="Krobo Girls' Senior High School"/>
    <x v="4"/>
    <x v="2"/>
    <x v="3"/>
    <n v="31"/>
    <n v="3"/>
    <x v="7"/>
    <s v="2016_0.125_SDA Bekwai"/>
    <s v="Preliminary"/>
    <n v="0"/>
    <s v="Middle Belt"/>
    <n v="4.1666666666666664E-2"/>
  </r>
  <r>
    <s v="Sekondi College"/>
    <s v="Sekondi College Senior High School"/>
    <x v="5"/>
    <x v="1"/>
    <x v="3"/>
    <n v="38"/>
    <n v="1"/>
    <x v="7"/>
    <s v="2016_0.125_Sekondi College"/>
    <s v="Preliminary"/>
    <n v="1"/>
    <s v="Coastal"/>
    <n v="0.125"/>
  </r>
  <r>
    <s v="Swedru SHS"/>
    <s v="Swedru Senior High School"/>
    <x v="2"/>
    <x v="1"/>
    <x v="3"/>
    <n v="31"/>
    <n v="2"/>
    <x v="7"/>
    <s v="2016_0.125_Sekondi College"/>
    <s v="Preliminary"/>
    <n v="0"/>
    <s v="Coastal"/>
    <n v="6.25E-2"/>
  </r>
  <r>
    <s v="Xavier"/>
    <s v="St Francis Xavier Mnior Seminary"/>
    <x v="8"/>
    <x v="0"/>
    <x v="3"/>
    <n v="25"/>
    <n v="3"/>
    <x v="7"/>
    <s v="2016_0.125_Sekondi College"/>
    <s v="Preliminary"/>
    <n v="0"/>
    <s v="Northern"/>
    <n v="4.1666666666666664E-2"/>
  </r>
  <r>
    <s v="Kumasi sectec"/>
    <s v="Kumasi Senior High Technical School"/>
    <x v="1"/>
    <x v="1"/>
    <x v="3"/>
    <n v="40"/>
    <n v="1"/>
    <x v="7"/>
    <s v="2016_0.125_Kumasi sectec"/>
    <s v="Preliminary"/>
    <n v="1"/>
    <s v="Middle Belt"/>
    <n v="0.125"/>
  </r>
  <r>
    <s v="Abusco"/>
    <s v="Abuakwa State College"/>
    <x v="4"/>
    <x v="1"/>
    <x v="3"/>
    <n v="37"/>
    <n v="2"/>
    <x v="7"/>
    <s v="2016_0.125_Kumasi sectec"/>
    <s v="Preliminary"/>
    <n v="0"/>
    <s v="Middle Belt"/>
    <n v="6.25E-2"/>
  </r>
  <r>
    <s v="Anlo SHS"/>
    <s v="Anlo Senior High School"/>
    <x v="3"/>
    <x v="1"/>
    <x v="3"/>
    <n v="36"/>
    <n v="3"/>
    <x v="7"/>
    <s v="2016_0.125_Kumasi sectec"/>
    <s v="Preliminary"/>
    <n v="0"/>
    <s v="Coastal"/>
    <n v="4.1666666666666664E-2"/>
  </r>
  <r>
    <s v="KNUST SHS"/>
    <s v="KNUST Senior High School"/>
    <x v="1"/>
    <x v="1"/>
    <x v="3"/>
    <n v="49"/>
    <n v="1"/>
    <x v="7"/>
    <s v="2016_0.125_KNUST SHS"/>
    <s v="Preliminary"/>
    <n v="1"/>
    <s v="Middle Belt"/>
    <n v="0.125"/>
  </r>
  <r>
    <s v="Presec Legon"/>
    <s v="Presbyterian Boys' Senior High School"/>
    <x v="0"/>
    <x v="0"/>
    <x v="3"/>
    <n v="46"/>
    <n v="2"/>
    <x v="7"/>
    <s v="2016_0.125_KNUST SHS"/>
    <s v="Preliminary"/>
    <n v="0"/>
    <s v="Coastal"/>
    <n v="6.25E-2"/>
  </r>
  <r>
    <s v="St. Mary's Accra"/>
    <s v="St. Mary's Senior High School"/>
    <x v="0"/>
    <x v="2"/>
    <x v="3"/>
    <n v="25"/>
    <n v="3"/>
    <x v="7"/>
    <s v="2016_0.125_KNUST SHS"/>
    <s v="Preliminary"/>
    <n v="0"/>
    <s v="Coastal"/>
    <n v="4.1666666666666664E-2"/>
  </r>
  <r>
    <s v="Kintampo"/>
    <s v="Kintampo Senior High School"/>
    <x v="9"/>
    <x v="1"/>
    <x v="3"/>
    <n v="41"/>
    <n v="1"/>
    <x v="7"/>
    <s v="2016_0.125_Kintampo"/>
    <s v="Preliminary"/>
    <n v="1"/>
    <s v="Middle Belt"/>
    <n v="0.125"/>
  </r>
  <r>
    <s v="Bawku SHS"/>
    <s v="Bawku Senior High School"/>
    <x v="10"/>
    <x v="1"/>
    <x v="3"/>
    <n v="30"/>
    <n v="2"/>
    <x v="7"/>
    <s v="2016_0.125_Kintampo"/>
    <s v="Preliminary"/>
    <n v="0"/>
    <s v="Northern"/>
    <n v="6.25E-2"/>
  </r>
  <r>
    <s v="Presec Berekum"/>
    <s v="Berekum Presbyterian Senior High School"/>
    <x v="6"/>
    <x v="1"/>
    <x v="3"/>
    <n v="15"/>
    <n v="3"/>
    <x v="7"/>
    <s v="2016_0.125_Kintampo"/>
    <s v="Preliminary"/>
    <n v="0"/>
    <s v="Middle Belt"/>
    <n v="4.1666666666666664E-2"/>
  </r>
  <r>
    <s v="Owass"/>
    <s v="Opoku Ware Senior High School"/>
    <x v="1"/>
    <x v="0"/>
    <x v="3"/>
    <n v="38"/>
    <n v="1"/>
    <x v="7"/>
    <s v="2016_0.125_Owass"/>
    <s v="Preliminary"/>
    <n v="1"/>
    <s v="Middle Belt"/>
    <n v="0.125"/>
  </r>
  <r>
    <s v="TI Amass Kumasi"/>
    <s v="TI Ahmadiyya Senior High School, Kumasi"/>
    <x v="1"/>
    <x v="1"/>
    <x v="3"/>
    <n v="29"/>
    <n v="2"/>
    <x v="7"/>
    <s v="2016_0.125_Owass"/>
    <s v="Preliminary"/>
    <n v="0"/>
    <s v="Middle Belt"/>
    <n v="6.25E-2"/>
  </r>
  <r>
    <s v="Takoradi SHS"/>
    <s v="Takoradi Senior High School"/>
    <x v="5"/>
    <x v="1"/>
    <x v="3"/>
    <n v="28"/>
    <n v="3"/>
    <x v="7"/>
    <s v="2016_0.125_Owass"/>
    <s v="Preliminary"/>
    <n v="0"/>
    <s v="Coastal"/>
    <n v="4.1666666666666664E-2"/>
  </r>
  <r>
    <s v="Ada SHS"/>
    <s v="Ada Senior High School"/>
    <x v="0"/>
    <x v="1"/>
    <x v="3"/>
    <n v="45"/>
    <n v="1"/>
    <x v="7"/>
    <s v="2016_0.125_Ada SHS"/>
    <s v="Preliminary"/>
    <n v="1"/>
    <s v="Coastal"/>
    <n v="0.125"/>
  </r>
  <r>
    <s v="St. Monica"/>
    <s v="St. Monica's Senior High School"/>
    <x v="1"/>
    <x v="2"/>
    <x v="3"/>
    <n v="31"/>
    <n v="2"/>
    <x v="7"/>
    <s v="2016_0.125_Ada SHS"/>
    <s v="Preliminary"/>
    <n v="0"/>
    <s v="Middle Belt"/>
    <n v="6.25E-2"/>
  </r>
  <r>
    <s v="Fijai"/>
    <s v="Fijai Senior High School"/>
    <x v="5"/>
    <x v="1"/>
    <x v="3"/>
    <n v="23"/>
    <n v="3"/>
    <x v="7"/>
    <s v="2016_0.125_Ada SHS"/>
    <s v="Preliminary"/>
    <n v="0"/>
    <s v="Coastal"/>
    <n v="4.1666666666666664E-2"/>
  </r>
  <r>
    <s v="GSTS"/>
    <s v="Ghana Secondary Technical School"/>
    <x v="5"/>
    <x v="0"/>
    <x v="3"/>
    <n v="47"/>
    <n v="1"/>
    <x v="7"/>
    <s v="2016_0.125_GSTS"/>
    <s v="Preliminary"/>
    <n v="1"/>
    <s v="Coastal"/>
    <n v="0.125"/>
  </r>
  <r>
    <s v="Keta"/>
    <s v="Keta Senior High Technical School"/>
    <x v="3"/>
    <x v="1"/>
    <x v="3"/>
    <n v="35"/>
    <n v="2"/>
    <x v="7"/>
    <s v="2016_0.125_GSTS"/>
    <s v="Preliminary"/>
    <n v="0"/>
    <s v="Coastal"/>
    <n v="6.25E-2"/>
  </r>
  <r>
    <s v="Gowrie SHTS"/>
    <s v="Gowrie Senior High Technical School"/>
    <x v="10"/>
    <x v="1"/>
    <x v="3"/>
    <n v="9"/>
    <n v="3"/>
    <x v="7"/>
    <s v="2016_0.125_GSTS"/>
    <s v="Preliminary"/>
    <n v="0"/>
    <s v="Northern"/>
    <n v="4.1666666666666664E-2"/>
  </r>
  <r>
    <s v="Kuhis"/>
    <s v="Kumasi High School"/>
    <x v="1"/>
    <x v="0"/>
    <x v="3"/>
    <n v="42"/>
    <n v="1"/>
    <x v="7"/>
    <s v="2016_0.125_Kuhis"/>
    <s v="Preliminary"/>
    <n v="1"/>
    <s v="Middle Belt"/>
    <n v="0.125"/>
  </r>
  <r>
    <s v="Osei Tutu"/>
    <s v="Osei Tutu Senior High School"/>
    <x v="1"/>
    <x v="0"/>
    <x v="3"/>
    <n v="40"/>
    <n v="2"/>
    <x v="7"/>
    <s v="2016_0.125_Kuhis"/>
    <s v="Preliminary"/>
    <n v="0"/>
    <s v="Middle Belt"/>
    <n v="6.25E-2"/>
  </r>
  <r>
    <s v="Kadjebi Asato"/>
    <s v="Kadjebi Asato Senior High School"/>
    <x v="12"/>
    <x v="1"/>
    <x v="3"/>
    <n v="35"/>
    <n v="3"/>
    <x v="7"/>
    <s v="2016_0.125_Kuhis"/>
    <s v="Preliminary"/>
    <n v="0"/>
    <s v="Middle Belt"/>
    <n v="4.1666666666666664E-2"/>
  </r>
  <r>
    <s v="Koforidua Sec Tech"/>
    <s v="Koforidua Sec Tech Senior High School"/>
    <x v="4"/>
    <x v="0"/>
    <x v="3"/>
    <n v="52"/>
    <n v="1"/>
    <x v="7"/>
    <s v="2016_0.125_Koforidua Sec Tech"/>
    <s v="Preliminary"/>
    <n v="1"/>
    <s v="Middle Belt"/>
    <n v="0.125"/>
  </r>
  <r>
    <s v="Methodist Girls"/>
    <s v="Methodist Girls High School, Mamfe"/>
    <x v="4"/>
    <x v="2"/>
    <x v="3"/>
    <n v="42"/>
    <n v="2"/>
    <x v="7"/>
    <s v="2016_0.125_Koforidua Sec Tech"/>
    <s v="Preliminary"/>
    <n v="0"/>
    <s v="Middle Belt"/>
    <n v="6.25E-2"/>
  </r>
  <r>
    <s v="Ola SHS"/>
    <s v="OLA Girls' Senior High School"/>
    <x v="3"/>
    <x v="2"/>
    <x v="3"/>
    <n v="33"/>
    <n v="3"/>
    <x v="7"/>
    <s v="2016_0.125_Koforidua Sec Tech"/>
    <s v="Preliminary"/>
    <n v="0"/>
    <s v="Coastal"/>
    <n v="4.1666666666666664E-2"/>
  </r>
  <r>
    <s v="Nifa SHS"/>
    <s v="Nifa SHS Senior High School"/>
    <x v="4"/>
    <x v="1"/>
    <x v="3"/>
    <n v="53"/>
    <n v="1"/>
    <x v="7"/>
    <s v="2016_0.125_Nifa SHS"/>
    <s v="Preliminary"/>
    <n v="1"/>
    <s v="Middle Belt"/>
    <n v="0.125"/>
  </r>
  <r>
    <s v="Achimota"/>
    <s v="Achimota School"/>
    <x v="0"/>
    <x v="1"/>
    <x v="3"/>
    <n v="49"/>
    <n v="2"/>
    <x v="7"/>
    <s v="2016_0.125_Nifa SHS"/>
    <s v="Preliminary"/>
    <n v="0"/>
    <s v="Coastal"/>
    <n v="6.25E-2"/>
  </r>
  <r>
    <s v="Holico"/>
    <s v="Holico Senior High School"/>
    <x v="2"/>
    <x v="2"/>
    <x v="3"/>
    <n v="45"/>
    <n v="3"/>
    <x v="7"/>
    <s v="2016_0.125_Nifa SHS"/>
    <s v="Preliminary"/>
    <n v="0"/>
    <s v="Coastal"/>
    <n v="4.1666666666666664E-2"/>
  </r>
  <r>
    <s v="St Hubert"/>
    <s v="St. Hubert Seminary Senior High School"/>
    <x v="1"/>
    <x v="0"/>
    <x v="3"/>
    <n v="42"/>
    <n v="1"/>
    <x v="7"/>
    <s v="2016_0.125_St Hubert"/>
    <s v="Preliminary"/>
    <n v="1"/>
    <s v="Middle Belt"/>
    <n v="0.125"/>
  </r>
  <r>
    <s v="St Mary's Sem Lolobi"/>
    <s v="St Mary's Seminary Secondary School, Lolobi"/>
    <x v="3"/>
    <x v="0"/>
    <x v="3"/>
    <n v="33"/>
    <n v="2"/>
    <x v="7"/>
    <s v="2016_0.125_St Hubert"/>
    <s v="Preliminary"/>
    <n v="0"/>
    <s v="Coastal"/>
    <n v="6.25E-2"/>
  </r>
  <r>
    <s v="Porters"/>
    <s v="Archbishop Porter Girls' Senior High School"/>
    <x v="5"/>
    <x v="2"/>
    <x v="3"/>
    <n v="27"/>
    <n v="3"/>
    <x v="7"/>
    <s v="2016_0.125_St Hubert"/>
    <s v="Preliminary"/>
    <n v="0"/>
    <s v="Coastal"/>
    <n v="4.1666666666666664E-2"/>
  </r>
  <r>
    <s v="Unipra"/>
    <s v="University Practice Senior High School"/>
    <x v="2"/>
    <x v="1"/>
    <x v="3"/>
    <n v="44"/>
    <n v="1"/>
    <x v="7"/>
    <s v="2016_0.125_Unipra"/>
    <s v="Preliminary"/>
    <n v="1"/>
    <s v="Coastal"/>
    <n v="0.125"/>
  </r>
  <r>
    <s v="Akatsi SHTS"/>
    <s v="Akatsi Senior High Technical School"/>
    <x v="3"/>
    <x v="1"/>
    <x v="3"/>
    <n v="39"/>
    <n v="2"/>
    <x v="7"/>
    <s v="2016_0.125_Unipra"/>
    <s v="Preliminary"/>
    <n v="0"/>
    <s v="Coastal"/>
    <n v="6.25E-2"/>
  </r>
  <r>
    <s v="Navrongo SHS"/>
    <s v="Navrongo SHS Senior High School"/>
    <x v="10"/>
    <x v="1"/>
    <x v="3"/>
    <n v="23"/>
    <n v="3"/>
    <x v="7"/>
    <s v="2016_0.125_Unipra"/>
    <s v="Preliminary"/>
    <n v="0"/>
    <s v="Northern"/>
    <n v="4.1666666666666664E-2"/>
  </r>
  <r>
    <s v="WASS"/>
    <s v="West Africa Senior High School"/>
    <x v="0"/>
    <x v="1"/>
    <x v="3"/>
    <n v="43"/>
    <n v="1"/>
    <x v="7"/>
    <s v="2016_0.125_WASS"/>
    <s v="Preliminary"/>
    <n v="1"/>
    <s v="Coastal"/>
    <n v="0.125"/>
  </r>
  <r>
    <s v="Sunyani SHS"/>
    <s v="Sunyani Senior High School"/>
    <x v="6"/>
    <x v="1"/>
    <x v="3"/>
    <n v="37"/>
    <n v="2"/>
    <x v="7"/>
    <s v="2016_0.125_WASS"/>
    <s v="Preliminary"/>
    <n v="0"/>
    <s v="Middle Belt"/>
    <n v="6.25E-2"/>
  </r>
  <r>
    <s v="Assin Manso"/>
    <s v="Assin Manso Senior High School"/>
    <x v="2"/>
    <x v="1"/>
    <x v="3"/>
    <n v="24"/>
    <n v="3"/>
    <x v="7"/>
    <s v="2016_0.125_WASS"/>
    <s v="Preliminary"/>
    <n v="0"/>
    <s v="Coastal"/>
    <n v="4.1666666666666664E-2"/>
  </r>
  <r>
    <s v="Mfantsipim"/>
    <s v="Mfantsipim School"/>
    <x v="2"/>
    <x v="0"/>
    <x v="3"/>
    <n v="56"/>
    <n v="1"/>
    <x v="7"/>
    <s v="2016_0.125_Mfantsipim"/>
    <s v="Preliminary"/>
    <n v="1"/>
    <s v="Coastal"/>
    <n v="0.125"/>
  </r>
  <r>
    <s v="St Charles"/>
    <s v="St. Charles Minor Seminary / Senior High School"/>
    <x v="7"/>
    <x v="0"/>
    <x v="3"/>
    <n v="46"/>
    <n v="2"/>
    <x v="7"/>
    <s v="2016_0.125_Mfantsipim"/>
    <s v="Preliminary"/>
    <n v="0"/>
    <s v="Northern"/>
    <n v="6.25E-2"/>
  </r>
  <r>
    <s v="New Juaben SHS"/>
    <s v="New Juaben SHS Senior High School"/>
    <x v="4"/>
    <x v="1"/>
    <x v="3"/>
    <n v="19"/>
    <n v="3"/>
    <x v="7"/>
    <s v="2016_0.125_Mfantsipim"/>
    <s v="Preliminary"/>
    <n v="0"/>
    <s v="Middle Belt"/>
    <n v="4.1666666666666664E-2"/>
  </r>
  <r>
    <s v="Prempeh"/>
    <s v="Prempeh College"/>
    <x v="1"/>
    <x v="0"/>
    <x v="3"/>
    <n v="52"/>
    <n v="1"/>
    <x v="7"/>
    <s v="2016_0.125_Prempeh"/>
    <s v="Preliminary"/>
    <n v="1"/>
    <s v="Middle Belt"/>
    <n v="0.125"/>
  </r>
  <r>
    <s v="Winneba SHS"/>
    <s v="Winneba Senior High School"/>
    <x v="2"/>
    <x v="1"/>
    <x v="3"/>
    <n v="39"/>
    <n v="2"/>
    <x v="7"/>
    <s v="2016_0.125_Prempeh"/>
    <s v="Preliminary"/>
    <n v="0"/>
    <s v="Coastal"/>
    <n v="6.25E-2"/>
  </r>
  <r>
    <s v="Ashaiman SHS"/>
    <s v="Ashaiman Senior High School"/>
    <x v="0"/>
    <x v="1"/>
    <x v="3"/>
    <n v="15"/>
    <n v="3"/>
    <x v="7"/>
    <s v="2016_0.125_Prempeh"/>
    <s v="Preliminary"/>
    <n v="0"/>
    <s v="Coastal"/>
    <n v="4.1666666666666664E-2"/>
  </r>
  <r>
    <s v="Wegehey"/>
    <s v="Wesley Girls' Senior High School"/>
    <x v="2"/>
    <x v="2"/>
    <x v="3"/>
    <n v="40"/>
    <n v="1"/>
    <x v="7"/>
    <s v="2016_0.125_Wegehey"/>
    <s v="Preliminary"/>
    <n v="1"/>
    <s v="Coastal"/>
    <n v="0.125"/>
  </r>
  <r>
    <s v="Kwanyako"/>
    <s v="Kwanyako Senior High Technical School"/>
    <x v="2"/>
    <x v="1"/>
    <x v="3"/>
    <n v="36"/>
    <n v="2"/>
    <x v="7"/>
    <s v="2016_0.125_Wegehey"/>
    <s v="Preliminary"/>
    <n v="0"/>
    <s v="Coastal"/>
    <n v="6.25E-2"/>
  </r>
  <r>
    <s v="Notre Dame Sem"/>
    <s v="Notre Dame Seminary Senior High School"/>
    <x v="10"/>
    <x v="0"/>
    <x v="3"/>
    <n v="34"/>
    <n v="3"/>
    <x v="7"/>
    <s v="2016_0.125_Wegehey"/>
    <s v="Preliminary"/>
    <n v="0"/>
    <s v="Northern"/>
    <n v="4.1666666666666664E-2"/>
  </r>
  <r>
    <s v="Aquinas"/>
    <s v="St. Thomas Aquinas Senior High School"/>
    <x v="0"/>
    <x v="0"/>
    <x v="3"/>
    <n v="49"/>
    <n v="1"/>
    <x v="7"/>
    <s v="2016_0.125_Aquinas"/>
    <s v="Preliminary"/>
    <n v="1"/>
    <s v="Coastal"/>
    <n v="0.125"/>
  </r>
  <r>
    <s v="Wesley Grammar"/>
    <s v="Wesley Grammar Senior High School"/>
    <x v="0"/>
    <x v="1"/>
    <x v="3"/>
    <n v="33"/>
    <n v="2"/>
    <x v="7"/>
    <s v="2016_0.125_Aquinas"/>
    <s v="Preliminary"/>
    <n v="0"/>
    <s v="Coastal"/>
    <n v="6.25E-2"/>
  </r>
  <r>
    <s v="Half Assini"/>
    <s v="Half Assini Senior High School"/>
    <x v="5"/>
    <x v="1"/>
    <x v="3"/>
    <n v="27"/>
    <n v="3"/>
    <x v="7"/>
    <s v="2016_0.125_Aquinas"/>
    <s v="Preliminary"/>
    <n v="0"/>
    <s v="Coastal"/>
    <n v="4.1666666666666664E-2"/>
  </r>
  <r>
    <s v="Mfantsiman"/>
    <s v="Mfantsiman Senior High School"/>
    <x v="2"/>
    <x v="2"/>
    <x v="3"/>
    <n v="52"/>
    <n v="1"/>
    <x v="7"/>
    <s v="2016_0.125_Mfantsiman"/>
    <s v="Preliminary"/>
    <n v="1"/>
    <s v="Coastal"/>
    <n v="0.125"/>
  </r>
  <r>
    <s v="Bolgatanga SHS"/>
    <s v="Bolgatanga Senior High School"/>
    <x v="10"/>
    <x v="1"/>
    <x v="3"/>
    <n v="41"/>
    <n v="2"/>
    <x v="7"/>
    <s v="2016_0.125_Mfantsiman"/>
    <s v="Preliminary"/>
    <n v="0"/>
    <s v="Northern"/>
    <n v="6.25E-2"/>
  </r>
  <r>
    <s v="Boa Amponsem"/>
    <s v="Boa Amponsem Senior High School"/>
    <x v="2"/>
    <x v="1"/>
    <x v="3"/>
    <n v="37"/>
    <n v="3"/>
    <x v="7"/>
    <s v="2016_0.125_Mfantsiman"/>
    <s v="Preliminary"/>
    <n v="0"/>
    <s v="Coastal"/>
    <n v="4.1666666666666664E-2"/>
  </r>
  <r>
    <s v="Aggrey Memorial Zion SHS"/>
    <s v="Aggrey Memorial AME Zion Senior High"/>
    <x v="2"/>
    <x v="1"/>
    <x v="3"/>
    <n v="42"/>
    <n v="1"/>
    <x v="7"/>
    <s v="2016_0.125_Aggrey Memorial Zion SHS"/>
    <s v="Preliminary"/>
    <n v="1"/>
    <s v="Coastal"/>
    <n v="0.125"/>
  </r>
  <r>
    <s v="Kumaca"/>
    <s v="Kumasi Academy"/>
    <x v="1"/>
    <x v="1"/>
    <x v="3"/>
    <n v="33"/>
    <n v="2"/>
    <x v="7"/>
    <s v="2016_0.125_Aggrey Memorial Zion SHS"/>
    <s v="Preliminary"/>
    <n v="0"/>
    <s v="Middle Belt"/>
    <n v="6.25E-2"/>
  </r>
  <r>
    <s v="Mawuli"/>
    <s v="Mawuli School"/>
    <x v="3"/>
    <x v="1"/>
    <x v="3"/>
    <n v="22"/>
    <n v="3"/>
    <x v="7"/>
    <s v="2016_0.125_Aggrey Memorial Zion SHS"/>
    <s v="Preliminary"/>
    <n v="0"/>
    <s v="Coastal"/>
    <n v="4.1666666666666664E-2"/>
  </r>
  <r>
    <s v="Ghana National"/>
    <s v="Ghana National College"/>
    <x v="2"/>
    <x v="1"/>
    <x v="3"/>
    <n v="46"/>
    <n v="1"/>
    <x v="7"/>
    <s v="2016_0.125_Ghana National"/>
    <s v="Preliminary"/>
    <n v="1"/>
    <s v="Coastal"/>
    <n v="0.125"/>
  </r>
  <r>
    <s v="Jachie Pramso"/>
    <s v="Jachie-Pramso Senior High School"/>
    <x v="1"/>
    <x v="1"/>
    <x v="3"/>
    <n v="43"/>
    <n v="2"/>
    <x v="7"/>
    <s v="2016_0.125_Ghana National"/>
    <s v="Preliminary"/>
    <n v="0"/>
    <s v="Middle Belt"/>
    <n v="6.25E-2"/>
  </r>
  <r>
    <s v="Sogakope SHS"/>
    <s v="Sogakope Senior High School"/>
    <x v="3"/>
    <x v="1"/>
    <x v="3"/>
    <n v="33"/>
    <n v="3"/>
    <x v="7"/>
    <s v="2016_0.125_Ghana National"/>
    <s v="Preliminary"/>
    <n v="0"/>
    <s v="Coastal"/>
    <n v="4.1666666666666664E-2"/>
  </r>
  <r>
    <s v="Presby SHTS Aburi"/>
    <s v="Aburi Presbyterian Senior High Technical School"/>
    <x v="4"/>
    <x v="1"/>
    <x v="3"/>
    <n v="52"/>
    <n v="1"/>
    <x v="7"/>
    <s v="2016_0.125_Presby SHTS Aburi"/>
    <s v="Preliminary"/>
    <n v="1"/>
    <s v="Middle Belt"/>
    <n v="1"/>
  </r>
  <r>
    <s v="Damongo SHS"/>
    <s v="Damongo"/>
    <x v="13"/>
    <x v="1"/>
    <x v="3"/>
    <n v="42"/>
    <n v="2"/>
    <x v="7"/>
    <s v="2016_0.125_Presby SHTS Aburi"/>
    <s v="Preliminary"/>
    <n v="0"/>
    <s v="Other"/>
    <n v="0.5"/>
  </r>
  <r>
    <s v="Ofori Panin"/>
    <s v="Ofori Panin Senior High School"/>
    <x v="4"/>
    <x v="1"/>
    <x v="3"/>
    <n v="30"/>
    <n v="3"/>
    <x v="7"/>
    <s v="2016_0.125_Presby SHTS Aburi"/>
    <s v="Preliminary"/>
    <n v="0"/>
    <s v="Middle Belt"/>
    <n v="0.33333333333333331"/>
  </r>
  <r>
    <s v="Mfantsipim"/>
    <s v="Mfantsipim School"/>
    <x v="2"/>
    <x v="0"/>
    <x v="0"/>
    <n v="47"/>
    <n v="1"/>
    <x v="8"/>
    <s v="2024_1.0_Mfantsipim"/>
    <s v="Final"/>
    <n v="1"/>
    <s v="Coastal"/>
    <n v="0.5"/>
  </r>
  <r>
    <s v="Augusco"/>
    <s v="St. Augustine's College"/>
    <x v="2"/>
    <x v="0"/>
    <x v="0"/>
    <n v="46"/>
    <n v="2"/>
    <x v="8"/>
    <s v="2024_1.0_Mfantsipim"/>
    <s v="Final"/>
    <n v="0"/>
    <s v="Coastal"/>
    <n v="0.25"/>
  </r>
  <r>
    <s v="Keta"/>
    <s v="Keta Senior High Technical School"/>
    <x v="3"/>
    <x v="1"/>
    <x v="0"/>
    <n v="33"/>
    <n v="3"/>
    <x v="8"/>
    <s v="2024_1.0_Mfantsipim"/>
    <s v="Final"/>
    <n v="0"/>
    <s v="Coastal"/>
    <n v="0.16666666666666666"/>
  </r>
  <r>
    <s v="Mfantsipim"/>
    <s v="Mfantsipim School"/>
    <x v="2"/>
    <x v="0"/>
    <x v="1"/>
    <n v="56"/>
    <n v="1"/>
    <x v="8"/>
    <s v="2024_0.5_Mfantsipim"/>
    <s v="Semifinal"/>
    <n v="1"/>
    <s v="Coastal"/>
    <n v="0.5"/>
  </r>
  <r>
    <s v="Presec Legon"/>
    <s v="Presbyterian Boys' Senior High School"/>
    <x v="0"/>
    <x v="0"/>
    <x v="1"/>
    <n v="53"/>
    <n v="2"/>
    <x v="8"/>
    <s v="2024_0.5_Mfantsipim"/>
    <s v="Semifinal"/>
    <n v="0"/>
    <s v="Coastal"/>
    <n v="0.25"/>
  </r>
  <r>
    <s v="Osei Tutu"/>
    <s v="Osei Tutu Senior High School"/>
    <x v="1"/>
    <x v="0"/>
    <x v="1"/>
    <n v="27"/>
    <n v="3"/>
    <x v="8"/>
    <s v="2024_0.5_Mfantsipim"/>
    <s v="Semifinal"/>
    <n v="0"/>
    <s v="Middle Belt"/>
    <n v="0.16666666666666666"/>
  </r>
  <r>
    <s v="Augusco"/>
    <s v="St. Augustine's College"/>
    <x v="2"/>
    <x v="0"/>
    <x v="1"/>
    <n v="52"/>
    <n v="1"/>
    <x v="8"/>
    <s v="2024_0.5_Augusco"/>
    <s v="Semifinal"/>
    <n v="1"/>
    <s v="Coastal"/>
    <n v="0.5"/>
  </r>
  <r>
    <s v="Ghana National"/>
    <s v="Ghana National College"/>
    <x v="2"/>
    <x v="1"/>
    <x v="1"/>
    <n v="49"/>
    <n v="2"/>
    <x v="8"/>
    <s v="2024_0.5_Augusco"/>
    <s v="Semifinal"/>
    <n v="0"/>
    <s v="Coastal"/>
    <n v="0.25"/>
  </r>
  <r>
    <s v="Wegehey"/>
    <s v="Wesley Girls' Senior High School"/>
    <x v="2"/>
    <x v="2"/>
    <x v="1"/>
    <n v="37"/>
    <n v="3"/>
    <x v="8"/>
    <s v="2024_0.5_Augusco"/>
    <s v="Semifinal"/>
    <n v="0"/>
    <s v="Coastal"/>
    <n v="0.16666666666666666"/>
  </r>
  <r>
    <s v="Keta"/>
    <s v="Keta Senior High Technical School"/>
    <x v="3"/>
    <x v="1"/>
    <x v="1"/>
    <n v="38"/>
    <n v="1"/>
    <x v="8"/>
    <s v="2024_0.5_Keta"/>
    <s v="Semifinal"/>
    <n v="1"/>
    <s v="Coastal"/>
    <n v="0.25"/>
  </r>
  <r>
    <s v="Koforidua Sec Tech"/>
    <s v="Koforidua Sec Tech Senior High School"/>
    <x v="4"/>
    <x v="0"/>
    <x v="1"/>
    <n v="27"/>
    <n v="2"/>
    <x v="8"/>
    <s v="2024_0.5_Keta"/>
    <s v="Semifinal"/>
    <n v="0"/>
    <s v="Middle Belt"/>
    <n v="0.125"/>
  </r>
  <r>
    <s v="Tamale SHS"/>
    <s v="Tamale SHS Senior High School"/>
    <x v="7"/>
    <x v="1"/>
    <x v="1"/>
    <n v="24"/>
    <n v="3"/>
    <x v="8"/>
    <s v="2024_0.5_Keta"/>
    <s v="Semifinal"/>
    <n v="0"/>
    <s v="Northern"/>
    <n v="8.3333333333333329E-2"/>
  </r>
  <r>
    <s v="Mfantsipim"/>
    <s v="Mfantsipim School"/>
    <x v="2"/>
    <x v="0"/>
    <x v="2"/>
    <n v="56"/>
    <n v="1"/>
    <x v="8"/>
    <s v="2024_0.25_Mfantsipim"/>
    <s v="Quarterfinal"/>
    <n v="1"/>
    <s v="Coastal"/>
    <n v="0.25"/>
  </r>
  <r>
    <s v="Prempeh"/>
    <s v="Prempeh College"/>
    <x v="1"/>
    <x v="0"/>
    <x v="2"/>
    <n v="53"/>
    <n v="2"/>
    <x v="8"/>
    <s v="2024_0.25_Mfantsipim"/>
    <s v="Quarterfinal"/>
    <n v="0"/>
    <s v="Middle Belt"/>
    <n v="0.125"/>
  </r>
  <r>
    <s v="Swedru SHS"/>
    <s v="Swedru Senior High School"/>
    <x v="2"/>
    <x v="1"/>
    <x v="2"/>
    <n v="27"/>
    <n v="3"/>
    <x v="8"/>
    <s v="2024_0.25_Mfantsipim"/>
    <s v="Quarterfinal"/>
    <n v="0"/>
    <s v="Coastal"/>
    <n v="8.3333333333333329E-2"/>
  </r>
  <r>
    <s v="Presec Legon"/>
    <s v="Presbyterian Boys' Senior High School"/>
    <x v="0"/>
    <x v="0"/>
    <x v="2"/>
    <n v="59"/>
    <n v="1"/>
    <x v="8"/>
    <s v="2024_0.25_Presec Legon"/>
    <s v="Quarterfinal"/>
    <n v="1"/>
    <s v="Coastal"/>
    <n v="0.25"/>
  </r>
  <r>
    <s v="PJ"/>
    <s v="Pope John Senior High School and Minor Seminary"/>
    <x v="4"/>
    <x v="0"/>
    <x v="2"/>
    <n v="46"/>
    <n v="2"/>
    <x v="8"/>
    <s v="2024_0.25_Presec Legon"/>
    <s v="Quarterfinal"/>
    <n v="0"/>
    <s v="Middle Belt"/>
    <n v="0.125"/>
  </r>
  <r>
    <s v="St. James"/>
    <s v="St. James Seminary and Senior High School"/>
    <x v="6"/>
    <x v="0"/>
    <x v="2"/>
    <n v="31"/>
    <n v="3"/>
    <x v="8"/>
    <s v="2024_0.25_Presec Legon"/>
    <s v="Quarterfinal"/>
    <n v="0"/>
    <s v="Middle Belt"/>
    <n v="8.3333333333333329E-2"/>
  </r>
  <r>
    <s v="Wegehey"/>
    <s v="Wesley Girls' Senior High School"/>
    <x v="2"/>
    <x v="2"/>
    <x v="2"/>
    <n v="51"/>
    <n v="1"/>
    <x v="8"/>
    <s v="2024_0.25_Wegehey"/>
    <s v="Quarterfinal"/>
    <n v="1"/>
    <s v="Coastal"/>
    <n v="0.25"/>
  </r>
  <r>
    <s v="Persco"/>
    <s v="St. Peter's Senior High School"/>
    <x v="4"/>
    <x v="0"/>
    <x v="2"/>
    <n v="48"/>
    <n v="2"/>
    <x v="8"/>
    <s v="2024_0.25_Wegehey"/>
    <s v="Quarterfinal"/>
    <n v="0"/>
    <s v="Middle Belt"/>
    <n v="0.125"/>
  </r>
  <r>
    <s v="Mawuli"/>
    <s v="Mawuli School"/>
    <x v="3"/>
    <x v="1"/>
    <x v="2"/>
    <n v="24"/>
    <n v="3"/>
    <x v="8"/>
    <s v="2024_0.25_Wegehey"/>
    <s v="Quarterfinal"/>
    <n v="0"/>
    <s v="Coastal"/>
    <n v="8.3333333333333329E-2"/>
  </r>
  <r>
    <s v="Augusco"/>
    <s v="St. Augustine's College"/>
    <x v="2"/>
    <x v="0"/>
    <x v="2"/>
    <n v="56"/>
    <n v="1"/>
    <x v="8"/>
    <s v="2024_0.25_Augusco"/>
    <s v="Quarterfinal"/>
    <n v="1"/>
    <s v="Coastal"/>
    <n v="0.25"/>
  </r>
  <r>
    <s v="St Hubert"/>
    <s v="St. Hubert Seminary Senior High School"/>
    <x v="1"/>
    <x v="0"/>
    <x v="2"/>
    <n v="42"/>
    <n v="2"/>
    <x v="8"/>
    <s v="2024_0.25_Augusco"/>
    <s v="Quarterfinal"/>
    <n v="0"/>
    <s v="Middle Belt"/>
    <n v="0.125"/>
  </r>
  <r>
    <s v="Biheco"/>
    <s v="Bishop Herman College"/>
    <x v="3"/>
    <x v="0"/>
    <x v="2"/>
    <n v="35"/>
    <n v="3"/>
    <x v="8"/>
    <s v="2024_0.25_Augusco"/>
    <s v="Quarterfinal"/>
    <n v="0"/>
    <s v="Coastal"/>
    <n v="8.3333333333333329E-2"/>
  </r>
  <r>
    <s v="Ghana National"/>
    <s v="Ghana National College"/>
    <x v="2"/>
    <x v="1"/>
    <x v="2"/>
    <n v="46"/>
    <n v="1"/>
    <x v="8"/>
    <s v="2024_0.25_Ghana National"/>
    <s v="Quarterfinal"/>
    <n v="1"/>
    <s v="Coastal"/>
    <n v="0.25"/>
  </r>
  <r>
    <s v="Owass"/>
    <s v="Opoku Ware Senior High School"/>
    <x v="1"/>
    <x v="0"/>
    <x v="2"/>
    <n v="45"/>
    <n v="2"/>
    <x v="8"/>
    <s v="2024_0.25_Ghana National"/>
    <s v="Quarterfinal"/>
    <n v="0"/>
    <s v="Middle Belt"/>
    <n v="0.125"/>
  </r>
  <r>
    <s v="Presby SHTS Aburi"/>
    <s v="Aburi Presbyterian Senior High Technical School"/>
    <x v="4"/>
    <x v="1"/>
    <x v="2"/>
    <n v="35"/>
    <n v="3"/>
    <x v="8"/>
    <s v="2024_0.25_Ghana National"/>
    <s v="Quarterfinal"/>
    <n v="0"/>
    <s v="Middle Belt"/>
    <n v="8.3333333333333329E-2"/>
  </r>
  <r>
    <s v="Osei Tutu"/>
    <s v="Osei Tutu Senior High School"/>
    <x v="1"/>
    <x v="0"/>
    <x v="2"/>
    <n v="46"/>
    <n v="1"/>
    <x v="8"/>
    <s v="2024_0.25_Osei Tutu"/>
    <s v="Quarterfinal"/>
    <n v="1"/>
    <s v="Middle Belt"/>
    <n v="0.25"/>
  </r>
  <r>
    <s v="Apam"/>
    <s v="Apam Senior High School"/>
    <x v="2"/>
    <x v="1"/>
    <x v="2"/>
    <n v="39"/>
    <n v="2"/>
    <x v="8"/>
    <s v="2024_0.25_Osei Tutu"/>
    <s v="Quarterfinal"/>
    <n v="0"/>
    <s v="Coastal"/>
    <n v="0.125"/>
  </r>
  <r>
    <s v="GSTS"/>
    <s v="Ghana Secondary Technical School"/>
    <x v="5"/>
    <x v="0"/>
    <x v="2"/>
    <n v="30"/>
    <n v="3"/>
    <x v="8"/>
    <s v="2024_0.25_Osei Tutu"/>
    <s v="Quarterfinal"/>
    <n v="0"/>
    <s v="Coastal"/>
    <n v="8.3333333333333329E-2"/>
  </r>
  <r>
    <s v="Keta"/>
    <s v="Keta Senior High Technical School"/>
    <x v="3"/>
    <x v="1"/>
    <x v="2"/>
    <n v="54"/>
    <n v="1"/>
    <x v="8"/>
    <s v="2024_0.25_Keta"/>
    <s v="Quarterfinal"/>
    <n v="1"/>
    <s v="Coastal"/>
    <n v="0.25"/>
  </r>
  <r>
    <s v="Achimota"/>
    <s v="Achimota School"/>
    <x v="0"/>
    <x v="1"/>
    <x v="2"/>
    <n v="42"/>
    <n v="2"/>
    <x v="8"/>
    <s v="2024_0.25_Keta"/>
    <s v="Quarterfinal"/>
    <n v="0"/>
    <s v="Coastal"/>
    <n v="0.125"/>
  </r>
  <r>
    <s v="Mpraeso"/>
    <s v="Mpraeso Senior High School"/>
    <x v="4"/>
    <x v="1"/>
    <x v="2"/>
    <n v="21"/>
    <n v="3"/>
    <x v="8"/>
    <s v="2024_0.25_Keta"/>
    <s v="Quarterfinal"/>
    <n v="0"/>
    <s v="Middle Belt"/>
    <n v="8.3333333333333329E-2"/>
  </r>
  <r>
    <s v="Koforidua Sec Tech"/>
    <s v="Koforidua Sec Tech Senior High School"/>
    <x v="4"/>
    <x v="0"/>
    <x v="2"/>
    <n v="46"/>
    <n v="1"/>
    <x v="8"/>
    <s v="2024_0.25_Koforidua Sec Tech"/>
    <s v="Quarterfinal"/>
    <n v="1"/>
    <s v="Middle Belt"/>
    <n v="0.25"/>
  </r>
  <r>
    <s v="Adonten"/>
    <s v="Adonten Senior High School"/>
    <x v="4"/>
    <x v="1"/>
    <x v="2"/>
    <n v="25"/>
    <n v="2"/>
    <x v="8"/>
    <s v="2024_0.25_Koforidua Sec Tech"/>
    <s v="Quarterfinal"/>
    <n v="0"/>
    <s v="Middle Belt"/>
    <n v="0.125"/>
  </r>
  <r>
    <s v="Ghana SHS Koforidua"/>
    <s v="Ghana Senior High School, Koforidua"/>
    <x v="4"/>
    <x v="1"/>
    <x v="2"/>
    <n v="25"/>
    <n v="3"/>
    <x v="8"/>
    <s v="2024_0.25_Koforidua Sec Tech"/>
    <s v="Quarterfinal"/>
    <n v="0"/>
    <s v="Middle Belt"/>
    <n v="8.3333333333333329E-2"/>
  </r>
  <r>
    <s v="Tamale SHS"/>
    <s v="Tamale SHS Senior High School"/>
    <x v="7"/>
    <x v="1"/>
    <x v="2"/>
    <n v="40"/>
    <n v="1"/>
    <x v="8"/>
    <s v="2024_0.25_Tamale SHS"/>
    <s v="Quarterfinal"/>
    <n v="1"/>
    <s v="Northern"/>
    <n v="0.125"/>
  </r>
  <r>
    <s v="St Johns School"/>
    <s v="St. John's School, Sekondi"/>
    <x v="5"/>
    <x v="0"/>
    <x v="2"/>
    <n v="38"/>
    <n v="2"/>
    <x v="8"/>
    <s v="2024_0.25_Tamale SHS"/>
    <s v="Quarterfinal"/>
    <n v="0"/>
    <s v="Coastal"/>
    <n v="6.25E-2"/>
  </r>
  <r>
    <s v="Accra Aca"/>
    <s v="Accra Academy"/>
    <x v="0"/>
    <x v="0"/>
    <x v="2"/>
    <n v="32"/>
    <n v="3"/>
    <x v="8"/>
    <s v="2024_0.25_Tamale SHS"/>
    <s v="Quarterfinal"/>
    <n v="0"/>
    <s v="Coastal"/>
    <n v="4.1666666666666664E-2"/>
  </r>
  <r>
    <s v="Mfantsipim"/>
    <s v="Mfantsipim School"/>
    <x v="2"/>
    <x v="0"/>
    <x v="3"/>
    <n v="50"/>
    <n v="1"/>
    <x v="8"/>
    <s v="2024_0.125_Mfantsipim"/>
    <s v="Preliminary"/>
    <n v="1"/>
    <s v="Coastal"/>
    <n v="0.125"/>
  </r>
  <r>
    <s v="Unipra"/>
    <s v="University Practice Senior High School"/>
    <x v="2"/>
    <x v="1"/>
    <x v="3"/>
    <n v="43"/>
    <n v="2"/>
    <x v="8"/>
    <s v="2024_0.125_Mfantsipim"/>
    <s v="Preliminary"/>
    <n v="0"/>
    <s v="Coastal"/>
    <n v="6.25E-2"/>
  </r>
  <r>
    <s v="Winneba SHS"/>
    <s v="Winneba Senior High School"/>
    <x v="2"/>
    <x v="1"/>
    <x v="3"/>
    <n v="34"/>
    <n v="3"/>
    <x v="8"/>
    <s v="2024_0.125_Mfantsipim"/>
    <s v="Preliminary"/>
    <n v="0"/>
    <s v="Coastal"/>
    <n v="4.1666666666666664E-2"/>
  </r>
  <r>
    <s v="Prempeh"/>
    <s v="Prempeh College"/>
    <x v="1"/>
    <x v="0"/>
    <x v="3"/>
    <n v="64"/>
    <n v="1"/>
    <x v="8"/>
    <s v="2024_0.125_Prempeh"/>
    <s v="Preliminary"/>
    <n v="1"/>
    <s v="Middle Belt"/>
    <n v="0.125"/>
  </r>
  <r>
    <s v="Awudome SHS"/>
    <s v="Awudome Senior High School"/>
    <x v="3"/>
    <x v="1"/>
    <x v="3"/>
    <n v="36"/>
    <n v="2"/>
    <x v="8"/>
    <s v="2024_0.125_Prempeh"/>
    <s v="Preliminary"/>
    <n v="0"/>
    <s v="Coastal"/>
    <n v="6.25E-2"/>
  </r>
  <r>
    <s v="Kadjebi Asato"/>
    <s v="Kadjebi Asato Senior High School"/>
    <x v="12"/>
    <x v="1"/>
    <x v="3"/>
    <n v="22"/>
    <n v="3"/>
    <x v="8"/>
    <s v="2024_0.125_Prempeh"/>
    <s v="Preliminary"/>
    <n v="0"/>
    <s v="Middle Belt"/>
    <n v="4.1666666666666664E-2"/>
  </r>
  <r>
    <s v="Swedru SHS"/>
    <s v="Swedru Senior High School"/>
    <x v="2"/>
    <x v="1"/>
    <x v="3"/>
    <n v="37"/>
    <n v="1"/>
    <x v="8"/>
    <s v="2024_0.125_Swedru SHS"/>
    <s v="Preliminary"/>
    <n v="1"/>
    <s v="Coastal"/>
    <n v="0.125"/>
  </r>
  <r>
    <s v="Kuhis"/>
    <s v="Kumasi High School"/>
    <x v="1"/>
    <x v="1"/>
    <x v="3"/>
    <n v="35"/>
    <n v="2"/>
    <x v="8"/>
    <s v="2024_0.125_Swedru SHS"/>
    <s v="Preliminary"/>
    <n v="0"/>
    <s v="Middle Belt"/>
    <n v="6.25E-2"/>
  </r>
  <r>
    <s v="Tepa"/>
    <s v="Tepa Senior High School"/>
    <x v="1"/>
    <x v="1"/>
    <x v="3"/>
    <n v="33"/>
    <n v="3"/>
    <x v="8"/>
    <s v="2024_0.125_Swedru SHS"/>
    <s v="Preliminary"/>
    <n v="0"/>
    <s v="Middle Belt"/>
    <n v="4.1666666666666664E-2"/>
  </r>
  <r>
    <s v="Presec Legon"/>
    <s v="Presbyterian Boys' Senior High School"/>
    <x v="0"/>
    <x v="0"/>
    <x v="3"/>
    <n v="60"/>
    <n v="1"/>
    <x v="8"/>
    <s v="2024_0.125_Presec Legon"/>
    <s v="Preliminary"/>
    <n v="1"/>
    <s v="Coastal"/>
    <n v="0.125"/>
  </r>
  <r>
    <s v="Kofi Agyei"/>
    <s v="Kofi Agyei Senior High Technical School"/>
    <x v="1"/>
    <x v="1"/>
    <x v="3"/>
    <n v="21"/>
    <n v="2"/>
    <x v="8"/>
    <s v="2024_0.125_Presec Legon"/>
    <s v="Preliminary"/>
    <n v="0"/>
    <s v="Middle Belt"/>
    <n v="6.25E-2"/>
  </r>
  <r>
    <s v="Ghana SHS Tamale"/>
    <s v="Ghana Senior High School, Tamale"/>
    <x v="7"/>
    <x v="1"/>
    <x v="3"/>
    <n v="18"/>
    <n v="3"/>
    <x v="8"/>
    <s v="2024_0.125_Presec Legon"/>
    <s v="Preliminary"/>
    <n v="0"/>
    <s v="Northern"/>
    <n v="4.1666666666666664E-2"/>
  </r>
  <r>
    <s v="Persco"/>
    <s v="St. Peter's Senior High School"/>
    <x v="4"/>
    <x v="0"/>
    <x v="3"/>
    <n v="35"/>
    <n v="1"/>
    <x v="8"/>
    <s v="2024_0.125_Persco"/>
    <s v="Preliminary"/>
    <n v="1"/>
    <s v="Middle Belt"/>
    <n v="0.125"/>
  </r>
  <r>
    <s v="KASS"/>
    <s v="Anglican Senior High School, Kumasi"/>
    <x v="1"/>
    <x v="1"/>
    <x v="3"/>
    <n v="28"/>
    <n v="2"/>
    <x v="8"/>
    <s v="2024_0.125_Persco"/>
    <s v="Preliminary"/>
    <n v="0"/>
    <s v="Middle Belt"/>
    <n v="6.25E-2"/>
  </r>
  <r>
    <s v="Krogiss"/>
    <s v="Krobo Girls' Senior High School"/>
    <x v="4"/>
    <x v="2"/>
    <x v="3"/>
    <n v="26"/>
    <n v="3"/>
    <x v="8"/>
    <s v="2024_0.125_Persco"/>
    <s v="Preliminary"/>
    <n v="0"/>
    <s v="Middle Belt"/>
    <n v="4.1666666666666664E-2"/>
  </r>
  <r>
    <s v="St. James"/>
    <s v="St. James Seminary and Senior High School"/>
    <x v="6"/>
    <x v="0"/>
    <x v="3"/>
    <n v="50"/>
    <n v="1"/>
    <x v="8"/>
    <s v="2024_0.125_St. James"/>
    <s v="Preliminary"/>
    <n v="1"/>
    <s v="Middle Belt"/>
    <n v="0.125"/>
  </r>
  <r>
    <s v="Armed Forces"/>
    <s v="Armed Forces Senior High Technical School"/>
    <x v="1"/>
    <x v="1"/>
    <x v="3"/>
    <n v="38"/>
    <n v="2"/>
    <x v="8"/>
    <s v="2024_0.125_St. James"/>
    <s v="Preliminary"/>
    <n v="0"/>
    <s v="Middle Belt"/>
    <n v="6.25E-2"/>
  </r>
  <r>
    <s v="Tsito"/>
    <s v="Tsito Senior High Technical School"/>
    <x v="3"/>
    <x v="1"/>
    <x v="3"/>
    <n v="32"/>
    <n v="3"/>
    <x v="8"/>
    <s v="2024_0.125_St. James"/>
    <s v="Preliminary"/>
    <n v="0"/>
    <s v="Coastal"/>
    <n v="4.1666666666666664E-2"/>
  </r>
  <r>
    <s v="Wegehey"/>
    <s v="Wesley Girls' Senior High School"/>
    <x v="2"/>
    <x v="2"/>
    <x v="3"/>
    <n v="47"/>
    <n v="1"/>
    <x v="8"/>
    <s v="2024_0.125_Wegehey"/>
    <s v="Preliminary"/>
    <n v="1"/>
    <s v="Coastal"/>
    <n v="0.125"/>
  </r>
  <r>
    <s v="Amaniampong SHS"/>
    <s v="Amaniampong Senior High School"/>
    <x v="1"/>
    <x v="1"/>
    <x v="3"/>
    <n v="44"/>
    <n v="2"/>
    <x v="8"/>
    <s v="2024_0.125_Wegehey"/>
    <s v="Preliminary"/>
    <n v="0"/>
    <s v="Middle Belt"/>
    <n v="6.25E-2"/>
  </r>
  <r>
    <s v="Ashaiman SHS"/>
    <s v="Ashaiman Senior High School"/>
    <x v="0"/>
    <x v="1"/>
    <x v="3"/>
    <n v="22"/>
    <n v="3"/>
    <x v="8"/>
    <s v="2024_0.125_Wegehey"/>
    <s v="Preliminary"/>
    <n v="0"/>
    <s v="Coastal"/>
    <n v="4.1666666666666664E-2"/>
  </r>
  <r>
    <s v="PJ"/>
    <s v="Pope John Senior High School and Minor Seminary"/>
    <x v="4"/>
    <x v="0"/>
    <x v="3"/>
    <n v="33"/>
    <n v="1"/>
    <x v="8"/>
    <s v="2024_0.125_PJ"/>
    <s v="Preliminary"/>
    <n v="1"/>
    <s v="Middle Belt"/>
    <n v="0.125"/>
  </r>
  <r>
    <s v="St Mary's Boys'"/>
    <s v="St Mary's Boys' Senior High School"/>
    <x v="5"/>
    <x v="0"/>
    <x v="3"/>
    <n v="30"/>
    <n v="2"/>
    <x v="8"/>
    <s v="2024_0.125_PJ"/>
    <s v="Preliminary"/>
    <n v="0"/>
    <s v="Coastal"/>
    <n v="6.25E-2"/>
  </r>
  <r>
    <s v="Akumfi Ameyaw"/>
    <s v="Akumfi Ameyaw Senior High Technical School"/>
    <x v="9"/>
    <x v="1"/>
    <x v="3"/>
    <n v="19"/>
    <n v="3"/>
    <x v="8"/>
    <s v="2024_0.125_PJ"/>
    <s v="Preliminary"/>
    <n v="0"/>
    <s v="Middle Belt"/>
    <n v="4.1666666666666664E-2"/>
  </r>
  <r>
    <s v="Mawuli"/>
    <s v="Mawuli School"/>
    <x v="3"/>
    <x v="1"/>
    <x v="3"/>
    <n v="43"/>
    <n v="1"/>
    <x v="8"/>
    <s v="2024_0.125_Mawuli"/>
    <s v="Preliminary"/>
    <n v="1"/>
    <s v="Coastal"/>
    <n v="0.125"/>
  </r>
  <r>
    <s v="Sogasco"/>
    <s v="Sogakofe Senior High School"/>
    <x v="3"/>
    <x v="1"/>
    <x v="3"/>
    <n v="30"/>
    <n v="2"/>
    <x v="8"/>
    <s v="2024_0.125_Mawuli"/>
    <s v="Preliminary"/>
    <n v="0"/>
    <s v="Coastal"/>
    <n v="6.25E-2"/>
  </r>
  <r>
    <s v="Presec Suhum"/>
    <s v="Presbyterian Senior High School, Suhum"/>
    <x v="4"/>
    <x v="1"/>
    <x v="3"/>
    <n v="25"/>
    <n v="3"/>
    <x v="8"/>
    <s v="2024_0.125_Mawuli"/>
    <s v="Preliminary"/>
    <n v="0"/>
    <s v="Middle Belt"/>
    <n v="4.1666666666666664E-2"/>
  </r>
  <r>
    <s v="Augusco"/>
    <s v="St. Augustine's College"/>
    <x v="2"/>
    <x v="0"/>
    <x v="3"/>
    <n v="73"/>
    <n v="1"/>
    <x v="8"/>
    <s v="2024_0.125_Augusco"/>
    <s v="Preliminary"/>
    <n v="1"/>
    <s v="Coastal"/>
    <n v="0.125"/>
  </r>
  <r>
    <s v="TI Amass Kumasi"/>
    <s v="TI Ahmadiyya Senior High School, Kumasi"/>
    <x v="1"/>
    <x v="1"/>
    <x v="3"/>
    <n v="45"/>
    <n v="2"/>
    <x v="8"/>
    <s v="2024_0.125_Augusco"/>
    <s v="Preliminary"/>
    <n v="0"/>
    <s v="Middle Belt"/>
    <n v="6.25E-2"/>
  </r>
  <r>
    <s v="Queen of Peace"/>
    <s v="Queen of Peace Senior High School"/>
    <x v="8"/>
    <x v="1"/>
    <x v="3"/>
    <n v="15"/>
    <n v="3"/>
    <x v="8"/>
    <s v="2024_0.125_Augusco"/>
    <s v="Preliminary"/>
    <n v="0"/>
    <s v="Northern"/>
    <n v="4.1666666666666664E-2"/>
  </r>
  <r>
    <s v="St Hubert"/>
    <s v="St. Hubert Seminary Senior High School"/>
    <x v="1"/>
    <x v="0"/>
    <x v="3"/>
    <n v="67"/>
    <n v="1"/>
    <x v="8"/>
    <s v="2024_0.125_St Hubert"/>
    <s v="Preliminary"/>
    <n v="1"/>
    <s v="Middle Belt"/>
    <n v="0.125"/>
  </r>
  <r>
    <s v="Adiembra SHS"/>
    <s v="Adiembra Senior High School"/>
    <x v="5"/>
    <x v="1"/>
    <x v="3"/>
    <n v="32"/>
    <n v="2"/>
    <x v="8"/>
    <s v="2024_0.125_St Hubert"/>
    <s v="Preliminary"/>
    <n v="0"/>
    <s v="Coastal"/>
    <n v="6.25E-2"/>
  </r>
  <r>
    <s v="Presec Abetifi"/>
    <s v="Abetifi Presbyterian Senior High School"/>
    <x v="4"/>
    <x v="1"/>
    <x v="3"/>
    <n v="26"/>
    <n v="3"/>
    <x v="8"/>
    <s v="2024_0.125_St Hubert"/>
    <s v="Preliminary"/>
    <n v="0"/>
    <s v="Middle Belt"/>
    <n v="4.1666666666666664E-2"/>
  </r>
  <r>
    <s v="Biheco"/>
    <s v="Bishop Herman College"/>
    <x v="3"/>
    <x v="0"/>
    <x v="3"/>
    <n v="49"/>
    <n v="1"/>
    <x v="8"/>
    <s v="2024_0.125_Biheco"/>
    <s v="Preliminary"/>
    <n v="1"/>
    <s v="Coastal"/>
    <n v="0.125"/>
  </r>
  <r>
    <s v="KOSS"/>
    <s v="Konongo Odumase Senior High School"/>
    <x v="1"/>
    <x v="1"/>
    <x v="3"/>
    <n v="48"/>
    <n v="2"/>
    <x v="8"/>
    <s v="2024_0.125_Biheco"/>
    <s v="Preliminary"/>
    <n v="0"/>
    <s v="Middle Belt"/>
    <n v="6.25E-2"/>
  </r>
  <r>
    <s v="Wallahs"/>
    <s v="Wallahs Academy"/>
    <x v="3"/>
    <x v="1"/>
    <x v="3"/>
    <n v="32"/>
    <n v="3"/>
    <x v="8"/>
    <s v="2024_0.125_Biheco"/>
    <s v="Preliminary"/>
    <n v="0"/>
    <s v="Coastal"/>
    <n v="4.1666666666666664E-2"/>
  </r>
  <r>
    <s v="Ghana National"/>
    <s v="Ghana National College"/>
    <x v="2"/>
    <x v="1"/>
    <x v="3"/>
    <n v="56"/>
    <n v="1"/>
    <x v="8"/>
    <s v="2024_0.125_Ghana National"/>
    <s v="Preliminary"/>
    <n v="1"/>
    <s v="Coastal"/>
    <n v="0.125"/>
  </r>
  <r>
    <s v="Porters"/>
    <s v="Archbishop Porter Girls' Senior High School"/>
    <x v="5"/>
    <x v="2"/>
    <x v="3"/>
    <n v="35"/>
    <n v="2"/>
    <x v="8"/>
    <s v="2024_0.125_Ghana National"/>
    <s v="Preliminary"/>
    <n v="0"/>
    <s v="Coastal"/>
    <n v="6.25E-2"/>
  </r>
  <r>
    <s v="St. Louis"/>
    <s v="St. Louis Senior High School"/>
    <x v="1"/>
    <x v="2"/>
    <x v="3"/>
    <n v="35"/>
    <n v="3"/>
    <x v="8"/>
    <s v="2024_0.125_Ghana National"/>
    <s v="Preliminary"/>
    <n v="0"/>
    <s v="Middle Belt"/>
    <n v="4.1666666666666664E-2"/>
  </r>
  <r>
    <s v="Owass"/>
    <s v="Opoku Ware Senior High School"/>
    <x v="1"/>
    <x v="0"/>
    <x v="3"/>
    <n v="74"/>
    <n v="1"/>
    <x v="8"/>
    <s v="2024_0.125_Owass"/>
    <s v="Preliminary"/>
    <n v="1"/>
    <s v="Middle Belt"/>
    <n v="0.125"/>
  </r>
  <r>
    <s v="Zion College"/>
    <s v="Zion College, Anloga"/>
    <x v="3"/>
    <x v="1"/>
    <x v="3"/>
    <n v="32"/>
    <n v="2"/>
    <x v="8"/>
    <s v="2024_0.125_Owass"/>
    <s v="Preliminary"/>
    <n v="0"/>
    <s v="Coastal"/>
    <n v="6.25E-2"/>
  </r>
  <r>
    <s v="OLAG"/>
    <s v="Our Lady of Grace Senior High School"/>
    <x v="1"/>
    <x v="1"/>
    <x v="3"/>
    <n v="26"/>
    <n v="3"/>
    <x v="8"/>
    <s v="2024_0.125_Owass"/>
    <s v="Preliminary"/>
    <n v="0"/>
    <s v="Middle Belt"/>
    <n v="4.1666666666666664E-2"/>
  </r>
  <r>
    <s v="Presby SHTS Aburi"/>
    <s v="Aburi Presbyterian Senior High Technical School"/>
    <x v="4"/>
    <x v="1"/>
    <x v="3"/>
    <n v="34"/>
    <n v="1"/>
    <x v="8"/>
    <s v="2024_0.125_Presby SHTS Aburi"/>
    <s v="Preliminary"/>
    <n v="1"/>
    <s v="Middle Belt"/>
    <n v="0.125"/>
  </r>
  <r>
    <s v="Mansec"/>
    <s v="Mankranso Senior High School"/>
    <x v="1"/>
    <x v="1"/>
    <x v="3"/>
    <n v="30"/>
    <n v="2"/>
    <x v="8"/>
    <s v="2024_0.125_Presby SHTS Aburi"/>
    <s v="Preliminary"/>
    <n v="0"/>
    <s v="Middle Belt"/>
    <n v="6.25E-2"/>
  </r>
  <r>
    <s v="Presec Nkwatia"/>
    <s v="Nkwatia Presbyterian Senior High School"/>
    <x v="4"/>
    <x v="1"/>
    <x v="3"/>
    <n v="25"/>
    <n v="3"/>
    <x v="8"/>
    <s v="2024_0.125_Presby SHTS Aburi"/>
    <s v="Preliminary"/>
    <n v="0"/>
    <s v="Middle Belt"/>
    <n v="4.1666666666666664E-2"/>
  </r>
  <r>
    <s v="Osei Tutu"/>
    <s v="Osei Tutu Senior High School"/>
    <x v="1"/>
    <x v="0"/>
    <x v="3"/>
    <n v="51"/>
    <n v="1"/>
    <x v="8"/>
    <s v="2024_0.125_Osei Tutu"/>
    <s v="Preliminary"/>
    <n v="1"/>
    <s v="Middle Belt"/>
    <n v="0.125"/>
  </r>
  <r>
    <s v="Simms"/>
    <s v="Simms Senior High School"/>
    <x v="1"/>
    <x v="1"/>
    <x v="3"/>
    <n v="39"/>
    <n v="2"/>
    <x v="8"/>
    <s v="2024_0.125_Osei Tutu"/>
    <s v="Preliminary"/>
    <n v="0"/>
    <s v="Middle Belt"/>
    <n v="6.25E-2"/>
  </r>
  <r>
    <s v="Abusco"/>
    <s v="Abuakwa State College"/>
    <x v="4"/>
    <x v="1"/>
    <x v="3"/>
    <n v="35"/>
    <n v="3"/>
    <x v="8"/>
    <s v="2024_0.125_Osei Tutu"/>
    <s v="Preliminary"/>
    <n v="0"/>
    <s v="Middle Belt"/>
    <n v="4.1666666666666664E-2"/>
  </r>
  <r>
    <s v="Apam"/>
    <s v="Apam Senior High School"/>
    <x v="2"/>
    <x v="1"/>
    <x v="3"/>
    <n v="40"/>
    <n v="1"/>
    <x v="8"/>
    <s v="2024_0.125_Apam"/>
    <s v="Preliminary"/>
    <n v="1"/>
    <s v="Coastal"/>
    <n v="0.125"/>
  </r>
  <r>
    <s v="Adisco"/>
    <s v="Adisadel College"/>
    <x v="2"/>
    <x v="0"/>
    <x v="3"/>
    <n v="36"/>
    <n v="2"/>
    <x v="8"/>
    <s v="2024_0.125_Apam"/>
    <s v="Preliminary"/>
    <n v="0"/>
    <s v="Coastal"/>
    <n v="6.25E-2"/>
  </r>
  <r>
    <s v="OKESS"/>
    <s v="Osei Kyeretwie Senior High School"/>
    <x v="1"/>
    <x v="1"/>
    <x v="3"/>
    <n v="23"/>
    <n v="3"/>
    <x v="8"/>
    <s v="2024_0.125_Apam"/>
    <s v="Preliminary"/>
    <n v="0"/>
    <s v="Middle Belt"/>
    <n v="4.1666666666666664E-2"/>
  </r>
  <r>
    <s v="GSTS"/>
    <s v="Ghana Secondary Technical School"/>
    <x v="5"/>
    <x v="0"/>
    <x v="3"/>
    <n v="29"/>
    <n v="1"/>
    <x v="8"/>
    <s v="2024_0.125_GSTS"/>
    <s v="Preliminary"/>
    <n v="1"/>
    <s v="Coastal"/>
    <n v="0.125"/>
  </r>
  <r>
    <s v="Tema Methodist"/>
    <s v="Tema Methodist Day Secondary School"/>
    <x v="0"/>
    <x v="1"/>
    <x v="3"/>
    <n v="26"/>
    <n v="2"/>
    <x v="8"/>
    <s v="2024_0.125_GSTS"/>
    <s v="Preliminary"/>
    <n v="0"/>
    <s v="Coastal"/>
    <n v="6.25E-2"/>
  </r>
  <r>
    <s v="Navrongo SHS"/>
    <s v="Navrongo SHS Senior High School"/>
    <x v="10"/>
    <x v="1"/>
    <x v="3"/>
    <n v="9"/>
    <n v="3"/>
    <x v="8"/>
    <s v="2024_0.125_GSTS"/>
    <s v="Preliminary"/>
    <n v="0"/>
    <s v="Northern"/>
    <n v="4.1666666666666664E-2"/>
  </r>
  <r>
    <s v="Keta"/>
    <s v="Keta Senior High Technical School"/>
    <x v="3"/>
    <x v="1"/>
    <x v="3"/>
    <n v="57"/>
    <n v="1"/>
    <x v="8"/>
    <s v="2024_0.125_Keta"/>
    <s v="Preliminary"/>
    <n v="1"/>
    <s v="Coastal"/>
    <n v="0.125"/>
  </r>
  <r>
    <s v="Kumaca"/>
    <s v="Kumasi Academy"/>
    <x v="1"/>
    <x v="1"/>
    <x v="3"/>
    <n v="46"/>
    <n v="2"/>
    <x v="8"/>
    <s v="2024_0.125_Keta"/>
    <s v="Preliminary"/>
    <n v="0"/>
    <s v="Middle Belt"/>
    <n v="6.25E-2"/>
  </r>
  <r>
    <s v="Acherensua SHS"/>
    <s v="Acherensua Senior High School"/>
    <x v="11"/>
    <x v="1"/>
    <x v="3"/>
    <n v="23"/>
    <n v="3"/>
    <x v="8"/>
    <s v="2024_0.125_Keta"/>
    <s v="Preliminary"/>
    <n v="0"/>
    <s v="Middle Belt"/>
    <n v="4.1666666666666664E-2"/>
  </r>
  <r>
    <s v="Achimota"/>
    <s v="Achimota School"/>
    <x v="0"/>
    <x v="1"/>
    <x v="3"/>
    <n v="46"/>
    <n v="1"/>
    <x v="8"/>
    <s v="2024_0.125_Achimota"/>
    <s v="Preliminary"/>
    <n v="1"/>
    <s v="Coastal"/>
    <n v="0.125"/>
  </r>
  <r>
    <s v="Agiss"/>
    <s v="Accra Girls' Senior High School"/>
    <x v="0"/>
    <x v="2"/>
    <x v="3"/>
    <n v="35"/>
    <n v="2"/>
    <x v="8"/>
    <s v="2024_0.125_Achimota"/>
    <s v="Preliminary"/>
    <n v="0"/>
    <s v="Coastal"/>
    <n v="6.25E-2"/>
  </r>
  <r>
    <s v="Sunyani SHS"/>
    <s v="Sunyani Senior High School"/>
    <x v="6"/>
    <x v="1"/>
    <x v="3"/>
    <n v="32"/>
    <n v="3"/>
    <x v="8"/>
    <s v="2024_0.125_Achimota"/>
    <s v="Preliminary"/>
    <n v="0"/>
    <s v="Middle Belt"/>
    <n v="4.1666666666666664E-2"/>
  </r>
  <r>
    <s v="Mpraeso"/>
    <s v="Mpraeso Senior High School"/>
    <x v="4"/>
    <x v="1"/>
    <x v="3"/>
    <n v="35"/>
    <n v="1"/>
    <x v="8"/>
    <s v="2024_0.125_Mpraeso"/>
    <s v="Preliminary"/>
    <n v="1"/>
    <s v="Middle Belt"/>
    <n v="0.125"/>
  </r>
  <r>
    <s v="Anlo SHS"/>
    <s v="Anlo Senior High School"/>
    <x v="3"/>
    <x v="1"/>
    <x v="3"/>
    <n v="31"/>
    <n v="2"/>
    <x v="8"/>
    <s v="2024_0.125_Mpraeso"/>
    <s v="Preliminary"/>
    <n v="0"/>
    <s v="Coastal"/>
    <n v="6.25E-2"/>
  </r>
  <r>
    <s v="Mfantsiman"/>
    <s v="Mfantsiman Senior High School"/>
    <x v="2"/>
    <x v="2"/>
    <x v="3"/>
    <n v="27"/>
    <n v="3"/>
    <x v="8"/>
    <s v="2024_0.125_Mpraeso"/>
    <s v="Preliminary"/>
    <n v="0"/>
    <s v="Coastal"/>
    <n v="4.1666666666666664E-2"/>
  </r>
  <r>
    <s v="Koforidua Sec Tech"/>
    <s v="Koforidua Sec Tech Senior High School"/>
    <x v="4"/>
    <x v="0"/>
    <x v="3"/>
    <n v="46"/>
    <n v="1"/>
    <x v="8"/>
    <s v="2024_0.125_Koforidua Sec Tech"/>
    <s v="Preliminary"/>
    <n v="1"/>
    <s v="Middle Belt"/>
    <n v="0.125"/>
  </r>
  <r>
    <s v="KNUST SHS"/>
    <s v="KNUST Senior High School"/>
    <x v="1"/>
    <x v="1"/>
    <x v="3"/>
    <n v="43"/>
    <n v="2"/>
    <x v="8"/>
    <s v="2024_0.125_Koforidua Sec Tech"/>
    <s v="Preliminary"/>
    <n v="0"/>
    <s v="Middle Belt"/>
    <n v="6.25E-2"/>
  </r>
  <r>
    <s v="Yikrosec"/>
    <s v="Yilo Krobo Senior High Community School"/>
    <x v="4"/>
    <x v="1"/>
    <x v="3"/>
    <n v="28"/>
    <n v="3"/>
    <x v="8"/>
    <s v="2024_0.125_Koforidua Sec Tech"/>
    <s v="Preliminary"/>
    <n v="0"/>
    <s v="Middle Belt"/>
    <n v="4.1666666666666664E-2"/>
  </r>
  <r>
    <s v="Adonten"/>
    <s v="Adonten Senior High School"/>
    <x v="4"/>
    <x v="1"/>
    <x v="3"/>
    <n v="50"/>
    <n v="1"/>
    <x v="8"/>
    <s v="2024_0.125_Adonten"/>
    <s v="Preliminary"/>
    <n v="1"/>
    <s v="Middle Belt"/>
    <n v="0.125"/>
  </r>
  <r>
    <s v="WASS"/>
    <s v="West Africa Senior High School"/>
    <x v="0"/>
    <x v="1"/>
    <x v="3"/>
    <n v="36"/>
    <n v="2"/>
    <x v="8"/>
    <s v="2024_0.125_Adonten"/>
    <s v="Preliminary"/>
    <n v="0"/>
    <s v="Coastal"/>
    <n v="6.25E-2"/>
  </r>
  <r>
    <s v="Kumasi sectec"/>
    <s v="Kumasi Senior High Technical School"/>
    <x v="1"/>
    <x v="1"/>
    <x v="3"/>
    <n v="27"/>
    <n v="3"/>
    <x v="8"/>
    <s v="2024_0.125_Adonten"/>
    <s v="Preliminary"/>
    <n v="0"/>
    <s v="Middle Belt"/>
    <n v="4.1666666666666664E-2"/>
  </r>
  <r>
    <s v="Ghana SHS Koforidua"/>
    <s v="Ghana Senior High School, Koforidua"/>
    <x v="4"/>
    <x v="1"/>
    <x v="3"/>
    <n v="58"/>
    <n v="1"/>
    <x v="8"/>
    <s v="2024_0.125_Ghana SHS Koforidua"/>
    <s v="Preliminary"/>
    <n v="1"/>
    <s v="Middle Belt"/>
    <n v="0.125"/>
  </r>
  <r>
    <s v="HEPSS"/>
    <s v="Hohoe EP Senior High School"/>
    <x v="3"/>
    <x v="1"/>
    <x v="3"/>
    <n v="20"/>
    <n v="2"/>
    <x v="8"/>
    <s v="2024_0.125_Ghana SHS Koforidua"/>
    <s v="Preliminary"/>
    <n v="0"/>
    <s v="Coastal"/>
    <n v="6.25E-2"/>
  </r>
  <r>
    <s v="Wesley Grammar"/>
    <s v="Wesley Grammar Senior High School"/>
    <x v="0"/>
    <x v="1"/>
    <x v="3"/>
    <n v="17"/>
    <n v="3"/>
    <x v="8"/>
    <s v="2024_0.125_Ghana SHS Koforidua"/>
    <s v="Preliminary"/>
    <n v="0"/>
    <s v="Coastal"/>
    <n v="4.1666666666666664E-2"/>
  </r>
  <r>
    <s v="Tamale SHS"/>
    <s v="Tamale SHS Senior High School"/>
    <x v="7"/>
    <x v="1"/>
    <x v="3"/>
    <n v="46"/>
    <n v="1"/>
    <x v="8"/>
    <s v="2024_0.125_Tamale SHS"/>
    <s v="Preliminary"/>
    <n v="1"/>
    <s v="Northern"/>
    <n v="0.125"/>
  </r>
  <r>
    <s v="Benkum SHS"/>
    <s v="Benkum Senior High School"/>
    <x v="4"/>
    <x v="1"/>
    <x v="3"/>
    <n v="30"/>
    <n v="2"/>
    <x v="8"/>
    <s v="2024_0.125_Tamale SHS"/>
    <s v="Preliminary"/>
    <n v="0"/>
    <s v="Middle Belt"/>
    <n v="6.25E-2"/>
  </r>
  <r>
    <s v="Chemu SHS"/>
    <s v="Chemu Senior High School"/>
    <x v="0"/>
    <x v="1"/>
    <x v="3"/>
    <n v="18"/>
    <n v="3"/>
    <x v="8"/>
    <s v="2024_0.125_Tamale SHS"/>
    <s v="Preliminary"/>
    <n v="0"/>
    <s v="Coastal"/>
    <n v="4.1666666666666664E-2"/>
  </r>
  <r>
    <s v="St Johns School"/>
    <s v="St. John's School, Sekondi"/>
    <x v="5"/>
    <x v="0"/>
    <x v="3"/>
    <n v="44"/>
    <n v="1"/>
    <x v="8"/>
    <s v="2024_0.125_St Johns School"/>
    <s v="Preliminary"/>
    <n v="1"/>
    <s v="Coastal"/>
    <n v="0.125"/>
  </r>
  <r>
    <s v="Okuapeman"/>
    <s v="Okuapeman Senior High School"/>
    <x v="4"/>
    <x v="1"/>
    <x v="3"/>
    <n v="43"/>
    <n v="2"/>
    <x v="8"/>
    <s v="2024_0.125_St Johns School"/>
    <s v="Preliminary"/>
    <n v="0"/>
    <s v="Middle Belt"/>
    <n v="6.25E-2"/>
  </r>
  <r>
    <s v="St Johns Grammar"/>
    <s v="St Johns Grammar Senior High School"/>
    <x v="0"/>
    <x v="1"/>
    <x v="3"/>
    <n v="36"/>
    <n v="3"/>
    <x v="8"/>
    <s v="2024_0.125_St Johns School"/>
    <s v="Preliminary"/>
    <n v="0"/>
    <s v="Coastal"/>
    <n v="4.1666666666666664E-2"/>
  </r>
  <r>
    <s v="Accra Aca"/>
    <s v="Accra Academy"/>
    <x v="0"/>
    <x v="0"/>
    <x v="3"/>
    <n v="45"/>
    <n v="1"/>
    <x v="8"/>
    <s v="2024_0.125_Accra Aca"/>
    <s v="Preliminary"/>
    <n v="1"/>
    <s v="Coastal"/>
    <n v="0"/>
  </r>
  <r>
    <s v="OMESS"/>
    <s v="Oyoko Methodist Senior High School"/>
    <x v="4"/>
    <x v="1"/>
    <x v="3"/>
    <n v="36"/>
    <n v="2"/>
    <x v="8"/>
    <s v="2024_0.125_Accra Aca"/>
    <s v="Preliminary"/>
    <n v="0"/>
    <s v="Middle Belt"/>
    <n v="0"/>
  </r>
  <r>
    <s v="St. Joseph Seminary"/>
    <s v="St. Joseph Seminary Senior High School"/>
    <x v="1"/>
    <x v="1"/>
    <x v="3"/>
    <n v="28"/>
    <n v="3"/>
    <x v="8"/>
    <s v="2024_0.125_Accra Aca"/>
    <s v="Preliminary"/>
    <n v="0"/>
    <s v="Middle Belt"/>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C8ECF4-A23B-4A92-A222-26E7778B9863}" name="pv_Wins_Year_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8:E29" firstHeaderRow="1" firstDataRow="2" firstDataCol="1"/>
  <pivotFields count="13">
    <pivotField showAll="0"/>
    <pivotField showAll="0"/>
    <pivotField showAll="0">
      <items count="15">
        <item x="11"/>
        <item x="1"/>
        <item x="6"/>
        <item x="9"/>
        <item x="2"/>
        <item x="4"/>
        <item x="0"/>
        <item x="7"/>
        <item x="12"/>
        <item x="13"/>
        <item x="10"/>
        <item x="8"/>
        <item x="3"/>
        <item x="5"/>
        <item t="default"/>
      </items>
    </pivotField>
    <pivotField axis="axisCol" showAll="0">
      <items count="4">
        <item x="0"/>
        <item x="2"/>
        <item x="1"/>
        <item t="default"/>
      </items>
    </pivotField>
    <pivotField showAll="0">
      <items count="5">
        <item x="3"/>
        <item x="2"/>
        <item x="1"/>
        <item x="0"/>
        <item t="default"/>
      </items>
    </pivotField>
    <pivotField showAll="0"/>
    <pivotField showAll="0"/>
    <pivotField axis="axisRow" showAll="0">
      <items count="10">
        <item x="7"/>
        <item x="6"/>
        <item x="5"/>
        <item x="4"/>
        <item x="3"/>
        <item x="2"/>
        <item x="1"/>
        <item x="0"/>
        <item x="8"/>
        <item t="default"/>
      </items>
    </pivotField>
    <pivotField showAll="0"/>
    <pivotField showAll="0"/>
    <pivotField dataField="1" showAll="0"/>
    <pivotField showAll="0"/>
    <pivotField showAll="0"/>
  </pivotFields>
  <rowFields count="1">
    <field x="7"/>
  </rowFields>
  <rowItems count="10">
    <i>
      <x/>
    </i>
    <i>
      <x v="1"/>
    </i>
    <i>
      <x v="2"/>
    </i>
    <i>
      <x v="3"/>
    </i>
    <i>
      <x v="4"/>
    </i>
    <i>
      <x v="5"/>
    </i>
    <i>
      <x v="6"/>
    </i>
    <i>
      <x v="7"/>
    </i>
    <i>
      <x v="8"/>
    </i>
    <i t="grand">
      <x/>
    </i>
  </rowItems>
  <colFields count="1">
    <field x="3"/>
  </colFields>
  <colItems count="4">
    <i>
      <x/>
    </i>
    <i>
      <x v="1"/>
    </i>
    <i>
      <x v="2"/>
    </i>
    <i t="grand">
      <x/>
    </i>
  </colItems>
  <dataFields count="1">
    <dataField name="Sum of Win Flag" fld="10" baseField="0" baseItem="0"/>
  </dataFields>
  <chartFormats count="4">
    <chartFormat chart="7" format="3" series="1">
      <pivotArea type="data" outline="0" fieldPosition="0">
        <references count="2">
          <reference field="4294967294" count="1" selected="0">
            <x v="0"/>
          </reference>
          <reference field="3" count="1" selected="0">
            <x v="0"/>
          </reference>
        </references>
      </pivotArea>
    </chartFormat>
    <chartFormat chart="7" format="4" series="1">
      <pivotArea type="data" outline="0" fieldPosition="0">
        <references count="2">
          <reference field="4294967294" count="1" selected="0">
            <x v="0"/>
          </reference>
          <reference field="3" count="1" selected="0">
            <x v="1"/>
          </reference>
        </references>
      </pivotArea>
    </chartFormat>
    <chartFormat chart="7"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E2DF5B-B9D6-45BB-A0E2-40520EA43BD6}" name="pv_Wins_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L3:N7" firstHeaderRow="0" firstDataRow="1" firstDataCol="1"/>
  <pivotFields count="13">
    <pivotField dataField="1" showAll="0"/>
    <pivotField showAll="0"/>
    <pivotField showAll="0">
      <items count="15">
        <item x="11"/>
        <item x="1"/>
        <item x="6"/>
        <item x="9"/>
        <item x="2"/>
        <item x="4"/>
        <item x="0"/>
        <item x="7"/>
        <item x="12"/>
        <item x="13"/>
        <item x="10"/>
        <item x="8"/>
        <item x="3"/>
        <item x="5"/>
        <item t="default"/>
      </items>
    </pivotField>
    <pivotField axis="axisRow" showAll="0">
      <items count="4">
        <item x="0"/>
        <item x="2"/>
        <item x="1"/>
        <item t="default"/>
      </items>
    </pivotField>
    <pivotField showAll="0">
      <items count="5">
        <item x="3"/>
        <item x="2"/>
        <item x="1"/>
        <item x="0"/>
        <item t="default"/>
      </items>
    </pivotField>
    <pivotField showAll="0"/>
    <pivotField showAll="0"/>
    <pivotField showAll="0">
      <items count="10">
        <item x="7"/>
        <item x="6"/>
        <item x="5"/>
        <item x="4"/>
        <item x="3"/>
        <item x="2"/>
        <item x="1"/>
        <item x="0"/>
        <item x="8"/>
        <item t="default"/>
      </items>
    </pivotField>
    <pivotField showAll="0"/>
    <pivotField showAll="0"/>
    <pivotField dataField="1" showAll="0"/>
    <pivotField showAll="0"/>
    <pivotField showAll="0"/>
  </pivotFields>
  <rowFields count="1">
    <field x="3"/>
  </rowFields>
  <rowItems count="4">
    <i>
      <x/>
    </i>
    <i>
      <x v="1"/>
    </i>
    <i>
      <x v="2"/>
    </i>
    <i t="grand">
      <x/>
    </i>
  </rowItems>
  <colFields count="1">
    <field x="-2"/>
  </colFields>
  <colItems count="2">
    <i>
      <x/>
    </i>
    <i i="1">
      <x v="1"/>
    </i>
  </colItems>
  <dataFields count="2">
    <dataField name="Wins" fld="10" baseField="3" baseItem="0"/>
    <dataField name="Contests" fld="0" subtotal="count" baseField="3" baseItem="0"/>
  </dataField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series="1">
      <pivotArea type="data" outline="0" fieldPosition="0">
        <references count="1">
          <reference field="4294967294" count="1" selected="0">
            <x v="1"/>
          </reference>
        </references>
      </pivotArea>
    </chartFormat>
    <chartFormat chart="5" format="7">
      <pivotArea type="data" outline="0" fieldPosition="0">
        <references count="2">
          <reference field="4294967294" count="1" selected="0">
            <x v="1"/>
          </reference>
          <reference field="3" count="1" selected="0">
            <x v="0"/>
          </reference>
        </references>
      </pivotArea>
    </chartFormat>
    <chartFormat chart="5" format="8">
      <pivotArea type="data" outline="0" fieldPosition="0">
        <references count="2">
          <reference field="4294967294" count="1" selected="0">
            <x v="1"/>
          </reference>
          <reference field="3" count="1" selected="0">
            <x v="1"/>
          </reference>
        </references>
      </pivotArea>
    </chartFormat>
    <chartFormat chart="5" format="9">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2B0A4-BB42-4C04-B0DF-6C0627458369}" name="pv_AvgPoints_Years_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3:I14" firstHeaderRow="1" firstDataRow="2" firstDataCol="1"/>
  <pivotFields count="13">
    <pivotField showAll="0"/>
    <pivotField showAll="0"/>
    <pivotField showAll="0">
      <items count="15">
        <item x="11"/>
        <item x="1"/>
        <item x="6"/>
        <item x="9"/>
        <item x="2"/>
        <item x="4"/>
        <item x="0"/>
        <item x="7"/>
        <item x="12"/>
        <item x="13"/>
        <item x="10"/>
        <item x="8"/>
        <item x="3"/>
        <item x="5"/>
        <item t="default"/>
      </items>
    </pivotField>
    <pivotField axis="axisCol" showAll="0">
      <items count="4">
        <item x="0"/>
        <item x="2"/>
        <item x="1"/>
        <item t="default"/>
      </items>
    </pivotField>
    <pivotField showAll="0">
      <items count="5">
        <item x="3"/>
        <item x="2"/>
        <item x="1"/>
        <item x="0"/>
        <item t="default"/>
      </items>
    </pivotField>
    <pivotField dataField="1" showAll="0"/>
    <pivotField showAll="0"/>
    <pivotField axis="axisRow" showAll="0">
      <items count="10">
        <item x="7"/>
        <item x="6"/>
        <item x="5"/>
        <item x="4"/>
        <item x="3"/>
        <item x="2"/>
        <item x="1"/>
        <item x="0"/>
        <item x="8"/>
        <item t="default"/>
      </items>
    </pivotField>
    <pivotField showAll="0"/>
    <pivotField showAll="0"/>
    <pivotField showAll="0"/>
    <pivotField showAll="0"/>
    <pivotField showAll="0"/>
  </pivotFields>
  <rowFields count="1">
    <field x="7"/>
  </rowFields>
  <rowItems count="10">
    <i>
      <x/>
    </i>
    <i>
      <x v="1"/>
    </i>
    <i>
      <x v="2"/>
    </i>
    <i>
      <x v="3"/>
    </i>
    <i>
      <x v="4"/>
    </i>
    <i>
      <x v="5"/>
    </i>
    <i>
      <x v="6"/>
    </i>
    <i>
      <x v="7"/>
    </i>
    <i>
      <x v="8"/>
    </i>
    <i t="grand">
      <x/>
    </i>
  </rowItems>
  <colFields count="1">
    <field x="3"/>
  </colFields>
  <colItems count="4">
    <i>
      <x/>
    </i>
    <i>
      <x v="1"/>
    </i>
    <i>
      <x v="2"/>
    </i>
    <i t="grand">
      <x/>
    </i>
  </colItems>
  <dataFields count="1">
    <dataField name="Average of Points" fld="5" subtotal="average" baseField="7" baseItem="0"/>
  </dataFields>
  <chartFormats count="4">
    <chartFormat chart="9" format="3" series="1">
      <pivotArea type="data" outline="0" fieldPosition="0">
        <references count="2">
          <reference field="4294967294" count="1" selected="0">
            <x v="0"/>
          </reference>
          <reference field="3" count="1" selected="0">
            <x v="0"/>
          </reference>
        </references>
      </pivotArea>
    </chartFormat>
    <chartFormat chart="9" format="4" series="1">
      <pivotArea type="data" outline="0" fieldPosition="0">
        <references count="2">
          <reference field="4294967294" count="1" selected="0">
            <x v="0"/>
          </reference>
          <reference field="3" count="1" selected="0">
            <x v="1"/>
          </reference>
        </references>
      </pivotArea>
    </chartFormat>
    <chartFormat chart="9" format="5" series="1">
      <pivotArea type="data" outline="0" fieldPosition="0">
        <references count="2">
          <reference field="4294967294" count="1" selected="0">
            <x v="0"/>
          </reference>
          <reference field="3" count="1" selected="0">
            <x v="2"/>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05B599-666A-45B5-A5DC-BC775656BCF0}" name="pv_AvgPoints_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3">
    <pivotField showAll="0"/>
    <pivotField showAll="0"/>
    <pivotField showAll="0">
      <items count="15">
        <item x="11"/>
        <item x="1"/>
        <item x="6"/>
        <item x="9"/>
        <item x="2"/>
        <item x="4"/>
        <item x="0"/>
        <item x="7"/>
        <item x="12"/>
        <item x="13"/>
        <item x="10"/>
        <item x="8"/>
        <item x="3"/>
        <item x="5"/>
        <item t="default"/>
      </items>
    </pivotField>
    <pivotField axis="axisRow" showAll="0">
      <items count="4">
        <item x="0"/>
        <item x="2"/>
        <item x="1"/>
        <item t="default"/>
      </items>
    </pivotField>
    <pivotField showAll="0">
      <items count="5">
        <item x="3"/>
        <item x="2"/>
        <item x="1"/>
        <item x="0"/>
        <item t="default"/>
      </items>
    </pivotField>
    <pivotField dataField="1" showAll="0"/>
    <pivotField showAll="0"/>
    <pivotField showAll="0">
      <items count="10">
        <item x="7"/>
        <item x="6"/>
        <item x="5"/>
        <item x="4"/>
        <item x="3"/>
        <item x="2"/>
        <item x="1"/>
        <item x="0"/>
        <item x="8"/>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Points" fld="5" subtotal="average" baseField="3"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5ED9D5-40B3-443D-9B29-5EEBEFD95658}" name="pv_AvgPoints_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G18:H33" firstHeaderRow="1" firstDataRow="1" firstDataCol="1"/>
  <pivotFields count="13">
    <pivotField showAll="0"/>
    <pivotField showAll="0"/>
    <pivotField axis="axisRow" showAll="0">
      <items count="15">
        <item x="11"/>
        <item x="1"/>
        <item x="6"/>
        <item x="9"/>
        <item x="2"/>
        <item x="4"/>
        <item x="0"/>
        <item x="7"/>
        <item x="12"/>
        <item x="13"/>
        <item x="10"/>
        <item x="8"/>
        <item x="3"/>
        <item x="5"/>
        <item t="default"/>
      </items>
    </pivotField>
    <pivotField showAll="0">
      <items count="4">
        <item x="0"/>
        <item x="2"/>
        <item x="1"/>
        <item t="default"/>
      </items>
    </pivotField>
    <pivotField showAll="0">
      <items count="5">
        <item x="3"/>
        <item x="2"/>
        <item x="1"/>
        <item x="0"/>
        <item t="default"/>
      </items>
    </pivotField>
    <pivotField dataField="1" showAll="0"/>
    <pivotField showAll="0"/>
    <pivotField showAll="0">
      <items count="10">
        <item x="7"/>
        <item x="6"/>
        <item x="5"/>
        <item x="4"/>
        <item x="3"/>
        <item x="2"/>
        <item x="1"/>
        <item x="0"/>
        <item x="8"/>
        <item t="default"/>
      </items>
    </pivotField>
    <pivotField showAll="0"/>
    <pivotField showAll="0"/>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Average of Points" fld="5" subtotal="average" baseField="3" baseItem="0"/>
  </dataFields>
  <chartFormats count="2">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F89E4C-B9B4-451E-B6A9-AC9B92E366A0}" sourceName="Region">
  <pivotTables>
    <pivotTable tabId="9" name="pv_AvgPoints_Gender."/>
    <pivotTable tabId="9" name="pv_AvgPoints_Region."/>
    <pivotTable tabId="9" name="pv_AvgPoints_Years_Gender"/>
    <pivotTable tabId="9" name="pv_Wins_Gender."/>
    <pivotTable tabId="9" name="pv_Wins_Year_Gender."/>
  </pivotTables>
  <data>
    <tabular pivotCacheId="1717470964">
      <items count="14">
        <i x="11" s="1"/>
        <i x="1" s="1"/>
        <i x="6" s="1"/>
        <i x="9" s="1"/>
        <i x="2" s="1"/>
        <i x="4" s="1"/>
        <i x="0" s="1"/>
        <i x="7" s="1"/>
        <i x="12" s="1"/>
        <i x="13" s="1"/>
        <i x="10" s="1"/>
        <i x="8"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87636C-1A5F-4019-886C-FAD09BA2A342}" sourceName="Gender">
  <pivotTables>
    <pivotTable tabId="9" name="pv_AvgPoints_Gender."/>
    <pivotTable tabId="9" name="pv_AvgPoints_Region."/>
    <pivotTable tabId="9" name="pv_AvgPoints_Years_Gender"/>
    <pivotTable tabId="9" name="pv_Wins_Gender."/>
    <pivotTable tabId="9" name="pv_Wins_Year_Gender."/>
  </pivotTables>
  <data>
    <tabular pivotCacheId="17174709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D5A2A021-EA79-4948-A878-283C99DDE432}" sourceName="Stage">
  <pivotTables>
    <pivotTable tabId="9" name="pv_AvgPoints_Gender."/>
    <pivotTable tabId="9" name="pv_AvgPoints_Region."/>
    <pivotTable tabId="9" name="pv_AvgPoints_Years_Gender"/>
    <pivotTable tabId="9" name="pv_Wins_Gender."/>
    <pivotTable tabId="9" name="pv_Wins_Year_Gender."/>
  </pivotTables>
  <data>
    <tabular pivotCacheId="1717470964">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1EAF5A-2C33-46C4-BFD2-769B2A58B631}" sourceName="Year">
  <pivotTables>
    <pivotTable tabId="9" name="pv_AvgPoints_Gender."/>
    <pivotTable tabId="9" name="pv_AvgPoints_Region."/>
    <pivotTable tabId="9" name="pv_AvgPoints_Years_Gender"/>
    <pivotTable tabId="9" name="pv_Wins_Gender."/>
    <pivotTable tabId="9" name="pv_Wins_Year_Gender."/>
  </pivotTables>
  <data>
    <tabular pivotCacheId="1717470964">
      <items count="9">
        <i x="7" s="1"/>
        <i x="6" s="1"/>
        <i x="5" s="1"/>
        <i x="4" s="1"/>
        <i x="3" s="1"/>
        <i x="2" s="1"/>
        <i x="1" s="1"/>
        <i x="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D889D2-7AC2-4C17-95EB-C8532D55C72A}" cache="Slicer_Region" caption="Region" rowHeight="241300"/>
  <slicer name="Gender" xr10:uid="{7F1D13B1-6908-4DDA-8E47-3E207F4334B2}" cache="Slicer_Gender" caption="Gender" rowHeight="241300"/>
  <slicer name="Stage" xr10:uid="{63CE857A-EA9E-431A-AD75-DE51521F65DF}" cache="Slicer_Stage" caption="Stage" rowHeight="241300"/>
  <slicer name="Year" xr10:uid="{0F03C034-6B8B-4D56-B67A-E00F90CBD21F}"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6A39A83-9C7B-4812-98E6-B6EB558C66CC}" cache="Slicer_Region" caption="Region" rowHeight="241300"/>
  <slicer name="Gender 1" xr10:uid="{1C03D88A-FE62-49CE-ABEB-F07F3711F48E}" cache="Slicer_Gender" caption="Gender" rowHeight="241300"/>
  <slicer name="Stage 1" xr10:uid="{2F5173DC-1804-49C2-A276-4BD2FE047BF5}" cache="Slicer_Stage" caption="Stage" rowHeight="241300"/>
  <slicer name="Year 1" xr10:uid="{1EF07ECC-3574-4A90-B935-2C33463C6833}"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61C53C-32BE-489D-8B4A-088A2E87DE2E}" name="NSMQ" displayName="NSMQ" ref="A1:K1081" totalsRowShown="0" headerRowDxfId="0">
  <autoFilter ref="A1:K1081" xr:uid="{2F61C53C-32BE-489D-8B4A-088A2E87DE2E}"/>
  <tableColumns count="11">
    <tableColumn id="1" xr3:uid="{10DA43A6-5935-4380-89B4-7C125988AF71}" name="School"/>
    <tableColumn id="2" xr3:uid="{CDF45292-5AE7-4013-A20C-1BDC589DE114}" name="Full name"/>
    <tableColumn id="3" xr3:uid="{E3D7C9F7-4114-4348-91DE-8CC97B857868}" name="Region"/>
    <tableColumn id="4" xr3:uid="{A11A7A1F-C7E5-42AD-B105-779C837409CA}" name="Gender"/>
    <tableColumn id="5" xr3:uid="{469C251B-C29B-4F22-B63A-25D83F29D23E}" name="Stage"/>
    <tableColumn id="6" xr3:uid="{353FB3F6-0C71-4CF6-9895-91BD11A6AC97}" name="Points"/>
    <tableColumn id="7" xr3:uid="{85A87F33-880F-420C-BE43-5504345BEBCC}" name="Contest Position"/>
    <tableColumn id="8" xr3:uid="{254DC048-C39F-4104-8569-3EA8570D4C8A}" name="Year"/>
    <tableColumn id="9" xr3:uid="{322354D2-5B61-4518-BB88-E95FAC5673E0}" name="Contest_id"/>
    <tableColumn id="10" xr3:uid="{D3E9427A-F91E-4D87-862A-76FB0583E2FA}" name="Stage Name">
      <calculatedColumnFormula>IF(E2=1,"Final",IF(E2=0.5,"Semifinal",IF(E2=0.25,"Quarterfinal",IF(E2=0.125,"Preliminary","Unknown"))))</calculatedColumnFormula>
    </tableColumn>
    <tableColumn id="11" xr3:uid="{FBFED1E3-C947-42BF-88CE-459604295A57}" name="Win Flag">
      <calculatedColumnFormula>IF(G2=1,1,0)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EFE48-45A6-4C55-B485-D42C0409DD7F}">
  <dimension ref="A1:K1081"/>
  <sheetViews>
    <sheetView topLeftCell="D1" workbookViewId="0">
      <selection activeCell="L1" sqref="L1"/>
    </sheetView>
  </sheetViews>
  <sheetFormatPr defaultRowHeight="14.25"/>
  <cols>
    <col min="1" max="1" width="26.375" customWidth="1"/>
    <col min="2" max="2" width="47" customWidth="1"/>
    <col min="3" max="3" width="16.875" customWidth="1"/>
    <col min="4" max="4" width="9.875" customWidth="1"/>
    <col min="6" max="6" width="14.25" customWidth="1"/>
    <col min="7" max="7" width="20.25" customWidth="1"/>
    <col min="8" max="8" width="12.875" customWidth="1"/>
    <col min="9" max="9" width="36.625" customWidth="1"/>
    <col min="10" max="10" width="15.75" customWidth="1"/>
    <col min="11" max="11" width="12.625" customWidth="1"/>
    <col min="12" max="12" width="17" customWidth="1"/>
    <col min="13" max="13" width="15.75" customWidth="1"/>
  </cols>
  <sheetData>
    <row r="1" spans="1:11" s="1" customFormat="1" ht="15">
      <c r="A1" s="1" t="s">
        <v>0</v>
      </c>
      <c r="B1" s="1" t="s">
        <v>1</v>
      </c>
      <c r="C1" s="1" t="s">
        <v>2</v>
      </c>
      <c r="D1" s="1" t="s">
        <v>3</v>
      </c>
      <c r="E1" s="1" t="s">
        <v>4</v>
      </c>
      <c r="F1" s="1" t="s">
        <v>5</v>
      </c>
      <c r="G1" s="1" t="s">
        <v>6</v>
      </c>
      <c r="H1" s="1" t="s">
        <v>7</v>
      </c>
      <c r="I1" s="1" t="s">
        <v>764</v>
      </c>
      <c r="J1" s="1" t="s">
        <v>8</v>
      </c>
      <c r="K1" s="1" t="s">
        <v>9</v>
      </c>
    </row>
    <row r="2" spans="1:11">
      <c r="A2" t="s">
        <v>10</v>
      </c>
      <c r="B2" t="s">
        <v>11</v>
      </c>
      <c r="C2" t="s">
        <v>12</v>
      </c>
      <c r="D2" t="s">
        <v>13</v>
      </c>
      <c r="E2">
        <v>1</v>
      </c>
      <c r="F2">
        <v>40</v>
      </c>
      <c r="G2">
        <v>1</v>
      </c>
      <c r="H2">
        <v>2023</v>
      </c>
      <c r="I2" t="s">
        <v>14</v>
      </c>
      <c r="J2" t="str">
        <f>IF(E2=1,"Final",IF(E2=0.5,"Semifinal",IF(E2=0.25,"Quarterfinal",IF(E2=0.125,"Preliminary","Unknown"))))</f>
        <v>Final</v>
      </c>
      <c r="K2">
        <f>IF(G2=1,1,0)</f>
        <v>1</v>
      </c>
    </row>
    <row r="3" spans="1:11">
      <c r="A3" t="s">
        <v>15</v>
      </c>
      <c r="B3" t="s">
        <v>16</v>
      </c>
      <c r="C3" t="s">
        <v>12</v>
      </c>
      <c r="D3" t="s">
        <v>17</v>
      </c>
      <c r="E3">
        <v>1</v>
      </c>
      <c r="F3">
        <v>28</v>
      </c>
      <c r="G3">
        <v>2</v>
      </c>
      <c r="H3">
        <v>2023</v>
      </c>
      <c r="I3" t="s">
        <v>14</v>
      </c>
      <c r="J3" t="str">
        <f t="shared" ref="J3:J66" si="0">IF(E3=1,"Final",IF(E3=0.5,"Semifinal",IF(E3=0.25,"Quarterfinal",IF(E3=0.125,"Preliminary","Unknown"))))</f>
        <v>Final</v>
      </c>
      <c r="K3">
        <f>IF(G3=1,1,0)</f>
        <v>0</v>
      </c>
    </row>
    <row r="4" spans="1:11">
      <c r="A4" t="s">
        <v>18</v>
      </c>
      <c r="B4" t="s">
        <v>19</v>
      </c>
      <c r="C4" t="s">
        <v>20</v>
      </c>
      <c r="D4" t="s">
        <v>13</v>
      </c>
      <c r="E4">
        <v>1</v>
      </c>
      <c r="F4">
        <v>23</v>
      </c>
      <c r="G4">
        <v>3</v>
      </c>
      <c r="H4">
        <v>2023</v>
      </c>
      <c r="I4" t="s">
        <v>14</v>
      </c>
      <c r="J4" t="str">
        <f t="shared" si="0"/>
        <v>Final</v>
      </c>
      <c r="K4">
        <f t="shared" ref="K4:K66" si="1">IF(G4=1,1,0)</f>
        <v>0</v>
      </c>
    </row>
    <row r="5" spans="1:11">
      <c r="A5" t="s">
        <v>10</v>
      </c>
      <c r="B5" t="s">
        <v>11</v>
      </c>
      <c r="C5" t="s">
        <v>12</v>
      </c>
      <c r="D5" t="s">
        <v>13</v>
      </c>
      <c r="E5">
        <v>0.5</v>
      </c>
      <c r="F5">
        <v>44</v>
      </c>
      <c r="G5">
        <v>1</v>
      </c>
      <c r="H5">
        <v>2023</v>
      </c>
      <c r="I5" t="s">
        <v>21</v>
      </c>
      <c r="J5" t="str">
        <f t="shared" si="0"/>
        <v>Semifinal</v>
      </c>
      <c r="K5">
        <f t="shared" si="1"/>
        <v>1</v>
      </c>
    </row>
    <row r="6" spans="1:11">
      <c r="A6" t="s">
        <v>22</v>
      </c>
      <c r="B6" t="s">
        <v>23</v>
      </c>
      <c r="C6" t="s">
        <v>24</v>
      </c>
      <c r="D6" t="s">
        <v>13</v>
      </c>
      <c r="E6">
        <v>0.5</v>
      </c>
      <c r="F6">
        <v>40</v>
      </c>
      <c r="G6">
        <v>2</v>
      </c>
      <c r="H6">
        <v>2023</v>
      </c>
      <c r="I6" t="s">
        <v>21</v>
      </c>
      <c r="J6" t="str">
        <f t="shared" si="0"/>
        <v>Semifinal</v>
      </c>
      <c r="K6">
        <f t="shared" si="1"/>
        <v>0</v>
      </c>
    </row>
    <row r="7" spans="1:11">
      <c r="A7" t="s">
        <v>25</v>
      </c>
      <c r="B7" t="s">
        <v>26</v>
      </c>
      <c r="C7" t="s">
        <v>27</v>
      </c>
      <c r="D7" t="s">
        <v>17</v>
      </c>
      <c r="E7">
        <v>0.5</v>
      </c>
      <c r="F7">
        <v>39</v>
      </c>
      <c r="G7">
        <v>3</v>
      </c>
      <c r="H7">
        <v>2023</v>
      </c>
      <c r="I7" t="s">
        <v>21</v>
      </c>
      <c r="J7" t="str">
        <f t="shared" si="0"/>
        <v>Semifinal</v>
      </c>
      <c r="K7">
        <f t="shared" si="1"/>
        <v>0</v>
      </c>
    </row>
    <row r="8" spans="1:11">
      <c r="A8" t="s">
        <v>15</v>
      </c>
      <c r="B8" t="s">
        <v>16</v>
      </c>
      <c r="C8" t="s">
        <v>12</v>
      </c>
      <c r="D8" t="s">
        <v>17</v>
      </c>
      <c r="E8">
        <v>0.5</v>
      </c>
      <c r="F8">
        <v>41</v>
      </c>
      <c r="G8">
        <v>1</v>
      </c>
      <c r="H8">
        <v>2023</v>
      </c>
      <c r="I8" t="s">
        <v>28</v>
      </c>
      <c r="J8" t="str">
        <f t="shared" si="0"/>
        <v>Semifinal</v>
      </c>
      <c r="K8">
        <f t="shared" si="1"/>
        <v>1</v>
      </c>
    </row>
    <row r="9" spans="1:11">
      <c r="A9" t="s">
        <v>29</v>
      </c>
      <c r="B9" t="s">
        <v>30</v>
      </c>
      <c r="C9" t="s">
        <v>24</v>
      </c>
      <c r="D9" t="s">
        <v>31</v>
      </c>
      <c r="E9">
        <v>0.5</v>
      </c>
      <c r="F9">
        <v>31</v>
      </c>
      <c r="G9">
        <v>2</v>
      </c>
      <c r="H9">
        <v>2023</v>
      </c>
      <c r="I9" t="s">
        <v>28</v>
      </c>
      <c r="J9" t="str">
        <f t="shared" si="0"/>
        <v>Semifinal</v>
      </c>
      <c r="K9">
        <f t="shared" si="1"/>
        <v>0</v>
      </c>
    </row>
    <row r="10" spans="1:11">
      <c r="A10" t="s">
        <v>32</v>
      </c>
      <c r="B10" t="s">
        <v>33</v>
      </c>
      <c r="C10" t="s">
        <v>20</v>
      </c>
      <c r="D10" t="s">
        <v>31</v>
      </c>
      <c r="E10">
        <v>0.5</v>
      </c>
      <c r="F10">
        <v>26</v>
      </c>
      <c r="G10">
        <v>3</v>
      </c>
      <c r="H10">
        <v>2023</v>
      </c>
      <c r="I10" t="s">
        <v>28</v>
      </c>
      <c r="J10" t="str">
        <f t="shared" si="0"/>
        <v>Semifinal</v>
      </c>
      <c r="K10">
        <f t="shared" si="1"/>
        <v>0</v>
      </c>
    </row>
    <row r="11" spans="1:11">
      <c r="A11" t="s">
        <v>18</v>
      </c>
      <c r="B11" t="s">
        <v>19</v>
      </c>
      <c r="C11" t="s">
        <v>20</v>
      </c>
      <c r="D11" t="s">
        <v>13</v>
      </c>
      <c r="E11">
        <v>0.5</v>
      </c>
      <c r="F11">
        <v>38</v>
      </c>
      <c r="G11">
        <v>1</v>
      </c>
      <c r="H11">
        <v>2023</v>
      </c>
      <c r="I11" t="s">
        <v>34</v>
      </c>
      <c r="J11" t="str">
        <f t="shared" si="0"/>
        <v>Semifinal</v>
      </c>
      <c r="K11">
        <f t="shared" si="1"/>
        <v>1</v>
      </c>
    </row>
    <row r="12" spans="1:11">
      <c r="A12" t="s">
        <v>35</v>
      </c>
      <c r="B12" t="s">
        <v>36</v>
      </c>
      <c r="C12" t="s">
        <v>20</v>
      </c>
      <c r="D12" t="s">
        <v>13</v>
      </c>
      <c r="E12">
        <v>0.5</v>
      </c>
      <c r="F12">
        <v>36</v>
      </c>
      <c r="G12">
        <v>2</v>
      </c>
      <c r="H12">
        <v>2023</v>
      </c>
      <c r="I12" t="s">
        <v>34</v>
      </c>
      <c r="J12" t="str">
        <f t="shared" si="0"/>
        <v>Semifinal</v>
      </c>
      <c r="K12">
        <f t="shared" si="1"/>
        <v>0</v>
      </c>
    </row>
    <row r="13" spans="1:11">
      <c r="A13" t="s">
        <v>37</v>
      </c>
      <c r="B13" t="s">
        <v>38</v>
      </c>
      <c r="C13" t="s">
        <v>39</v>
      </c>
      <c r="D13" t="s">
        <v>13</v>
      </c>
      <c r="E13">
        <v>0.5</v>
      </c>
      <c r="F13">
        <v>36</v>
      </c>
      <c r="G13">
        <v>3</v>
      </c>
      <c r="H13">
        <v>2023</v>
      </c>
      <c r="I13" t="s">
        <v>34</v>
      </c>
      <c r="J13" t="str">
        <f t="shared" si="0"/>
        <v>Semifinal</v>
      </c>
      <c r="K13">
        <f t="shared" si="1"/>
        <v>0</v>
      </c>
    </row>
    <row r="14" spans="1:11">
      <c r="A14" t="s">
        <v>35</v>
      </c>
      <c r="B14" t="s">
        <v>36</v>
      </c>
      <c r="C14" t="s">
        <v>20</v>
      </c>
      <c r="D14" t="s">
        <v>13</v>
      </c>
      <c r="E14">
        <v>0.25</v>
      </c>
      <c r="F14">
        <v>57</v>
      </c>
      <c r="G14">
        <v>1</v>
      </c>
      <c r="H14">
        <v>2023</v>
      </c>
      <c r="I14" t="s">
        <v>40</v>
      </c>
      <c r="J14" t="str">
        <f t="shared" si="0"/>
        <v>Quarterfinal</v>
      </c>
      <c r="K14">
        <f t="shared" si="1"/>
        <v>1</v>
      </c>
    </row>
    <row r="15" spans="1:11">
      <c r="A15" t="s">
        <v>41</v>
      </c>
      <c r="B15" t="s">
        <v>42</v>
      </c>
      <c r="C15" t="s">
        <v>27</v>
      </c>
      <c r="D15" t="s">
        <v>17</v>
      </c>
      <c r="E15">
        <v>0.25</v>
      </c>
      <c r="F15">
        <v>33</v>
      </c>
      <c r="G15">
        <v>2</v>
      </c>
      <c r="H15">
        <v>2023</v>
      </c>
      <c r="I15" t="s">
        <v>40</v>
      </c>
      <c r="J15" t="str">
        <f t="shared" si="0"/>
        <v>Quarterfinal</v>
      </c>
      <c r="K15">
        <f t="shared" si="1"/>
        <v>0</v>
      </c>
    </row>
    <row r="16" spans="1:11">
      <c r="A16" t="s">
        <v>43</v>
      </c>
      <c r="B16" t="s">
        <v>44</v>
      </c>
      <c r="C16" t="s">
        <v>39</v>
      </c>
      <c r="D16" t="s">
        <v>17</v>
      </c>
      <c r="E16">
        <v>0.25</v>
      </c>
      <c r="F16">
        <v>30</v>
      </c>
      <c r="G16">
        <v>3</v>
      </c>
      <c r="H16">
        <v>2023</v>
      </c>
      <c r="I16" t="s">
        <v>40</v>
      </c>
      <c r="J16" t="str">
        <f t="shared" si="0"/>
        <v>Quarterfinal</v>
      </c>
      <c r="K16">
        <f t="shared" si="1"/>
        <v>0</v>
      </c>
    </row>
    <row r="17" spans="1:11">
      <c r="A17" t="s">
        <v>10</v>
      </c>
      <c r="B17" t="s">
        <v>11</v>
      </c>
      <c r="C17" t="s">
        <v>12</v>
      </c>
      <c r="D17" t="s">
        <v>13</v>
      </c>
      <c r="E17">
        <v>0.25</v>
      </c>
      <c r="F17">
        <v>63</v>
      </c>
      <c r="G17">
        <v>1</v>
      </c>
      <c r="H17">
        <v>2023</v>
      </c>
      <c r="I17" t="s">
        <v>45</v>
      </c>
      <c r="J17" t="str">
        <f t="shared" si="0"/>
        <v>Quarterfinal</v>
      </c>
      <c r="K17">
        <f t="shared" si="1"/>
        <v>1</v>
      </c>
    </row>
    <row r="18" spans="1:11">
      <c r="A18" t="s">
        <v>46</v>
      </c>
      <c r="B18" t="s">
        <v>47</v>
      </c>
      <c r="C18" t="s">
        <v>12</v>
      </c>
      <c r="D18" t="s">
        <v>13</v>
      </c>
      <c r="E18">
        <v>0.25</v>
      </c>
      <c r="F18">
        <v>58</v>
      </c>
      <c r="G18">
        <v>2</v>
      </c>
      <c r="H18">
        <v>2023</v>
      </c>
      <c r="I18" t="s">
        <v>45</v>
      </c>
      <c r="J18" t="str">
        <f t="shared" si="0"/>
        <v>Quarterfinal</v>
      </c>
      <c r="K18">
        <f t="shared" si="1"/>
        <v>0</v>
      </c>
    </row>
    <row r="19" spans="1:11">
      <c r="A19" t="s">
        <v>48</v>
      </c>
      <c r="B19" t="s">
        <v>49</v>
      </c>
      <c r="C19" t="s">
        <v>50</v>
      </c>
      <c r="D19" t="s">
        <v>13</v>
      </c>
      <c r="E19">
        <v>0.25</v>
      </c>
      <c r="F19">
        <v>31</v>
      </c>
      <c r="G19">
        <v>3</v>
      </c>
      <c r="H19">
        <v>2023</v>
      </c>
      <c r="I19" t="s">
        <v>45</v>
      </c>
      <c r="J19" t="str">
        <f t="shared" si="0"/>
        <v>Quarterfinal</v>
      </c>
      <c r="K19">
        <f t="shared" si="1"/>
        <v>0</v>
      </c>
    </row>
    <row r="20" spans="1:11">
      <c r="A20" t="s">
        <v>15</v>
      </c>
      <c r="B20" t="s">
        <v>16</v>
      </c>
      <c r="C20" t="s">
        <v>12</v>
      </c>
      <c r="D20" t="s">
        <v>17</v>
      </c>
      <c r="E20">
        <v>0.25</v>
      </c>
      <c r="F20">
        <v>34</v>
      </c>
      <c r="G20">
        <v>1</v>
      </c>
      <c r="H20">
        <v>2023</v>
      </c>
      <c r="I20" t="s">
        <v>51</v>
      </c>
      <c r="J20" t="str">
        <f t="shared" si="0"/>
        <v>Quarterfinal</v>
      </c>
      <c r="K20">
        <f t="shared" si="1"/>
        <v>1</v>
      </c>
    </row>
    <row r="21" spans="1:11">
      <c r="A21" t="s">
        <v>52</v>
      </c>
      <c r="B21" t="s">
        <v>53</v>
      </c>
      <c r="C21" t="s">
        <v>20</v>
      </c>
      <c r="D21" t="s">
        <v>13</v>
      </c>
      <c r="E21">
        <v>0.25</v>
      </c>
      <c r="F21">
        <v>31</v>
      </c>
      <c r="G21">
        <v>2</v>
      </c>
      <c r="H21">
        <v>2023</v>
      </c>
      <c r="I21" t="s">
        <v>51</v>
      </c>
      <c r="J21" t="str">
        <f t="shared" si="0"/>
        <v>Quarterfinal</v>
      </c>
      <c r="K21">
        <f t="shared" si="1"/>
        <v>0</v>
      </c>
    </row>
    <row r="22" spans="1:11">
      <c r="A22" t="s">
        <v>54</v>
      </c>
      <c r="B22" t="s">
        <v>55</v>
      </c>
      <c r="C22" t="s">
        <v>20</v>
      </c>
      <c r="D22" t="s">
        <v>17</v>
      </c>
      <c r="E22">
        <v>0.25</v>
      </c>
      <c r="F22">
        <v>24</v>
      </c>
      <c r="G22">
        <v>3</v>
      </c>
      <c r="H22">
        <v>2023</v>
      </c>
      <c r="I22" t="s">
        <v>51</v>
      </c>
      <c r="J22" t="str">
        <f t="shared" si="0"/>
        <v>Quarterfinal</v>
      </c>
      <c r="K22">
        <f t="shared" si="1"/>
        <v>0</v>
      </c>
    </row>
    <row r="23" spans="1:11">
      <c r="A23" t="s">
        <v>18</v>
      </c>
      <c r="B23" t="s">
        <v>19</v>
      </c>
      <c r="C23" t="s">
        <v>20</v>
      </c>
      <c r="D23" t="s">
        <v>13</v>
      </c>
      <c r="E23">
        <v>0.25</v>
      </c>
      <c r="F23">
        <v>45</v>
      </c>
      <c r="G23">
        <v>1</v>
      </c>
      <c r="H23">
        <v>2023</v>
      </c>
      <c r="I23" t="s">
        <v>56</v>
      </c>
      <c r="J23" t="str">
        <f t="shared" si="0"/>
        <v>Quarterfinal</v>
      </c>
      <c r="K23">
        <f t="shared" si="1"/>
        <v>1</v>
      </c>
    </row>
    <row r="24" spans="1:11">
      <c r="A24" t="s">
        <v>57</v>
      </c>
      <c r="B24" t="s">
        <v>58</v>
      </c>
      <c r="C24" t="s">
        <v>20</v>
      </c>
      <c r="D24" t="s">
        <v>13</v>
      </c>
      <c r="E24">
        <v>0.25</v>
      </c>
      <c r="F24">
        <v>43</v>
      </c>
      <c r="G24">
        <v>2</v>
      </c>
      <c r="H24">
        <v>2023</v>
      </c>
      <c r="I24" t="s">
        <v>56</v>
      </c>
      <c r="J24" t="str">
        <f t="shared" si="0"/>
        <v>Quarterfinal</v>
      </c>
      <c r="K24">
        <f t="shared" si="1"/>
        <v>0</v>
      </c>
    </row>
    <row r="25" spans="1:11">
      <c r="A25" t="s">
        <v>59</v>
      </c>
      <c r="B25" t="s">
        <v>60</v>
      </c>
      <c r="C25" t="s">
        <v>50</v>
      </c>
      <c r="D25" t="s">
        <v>13</v>
      </c>
      <c r="E25">
        <v>0.25</v>
      </c>
      <c r="F25">
        <v>18</v>
      </c>
      <c r="G25">
        <v>3</v>
      </c>
      <c r="H25">
        <v>2023</v>
      </c>
      <c r="I25" t="s">
        <v>56</v>
      </c>
      <c r="J25" t="str">
        <f t="shared" si="0"/>
        <v>Quarterfinal</v>
      </c>
      <c r="K25">
        <f t="shared" si="1"/>
        <v>0</v>
      </c>
    </row>
    <row r="26" spans="1:11">
      <c r="A26" t="s">
        <v>32</v>
      </c>
      <c r="B26" t="s">
        <v>33</v>
      </c>
      <c r="C26" t="s">
        <v>20</v>
      </c>
      <c r="D26" t="s">
        <v>31</v>
      </c>
      <c r="E26">
        <v>0.25</v>
      </c>
      <c r="F26">
        <v>50</v>
      </c>
      <c r="G26">
        <v>1</v>
      </c>
      <c r="H26">
        <v>2023</v>
      </c>
      <c r="I26" t="s">
        <v>61</v>
      </c>
      <c r="J26" t="str">
        <f t="shared" si="0"/>
        <v>Quarterfinal</v>
      </c>
      <c r="K26">
        <f t="shared" si="1"/>
        <v>1</v>
      </c>
    </row>
    <row r="27" spans="1:11">
      <c r="A27" t="s">
        <v>62</v>
      </c>
      <c r="B27" t="s">
        <v>63</v>
      </c>
      <c r="C27" t="s">
        <v>20</v>
      </c>
      <c r="D27" t="s">
        <v>17</v>
      </c>
      <c r="E27">
        <v>0.25</v>
      </c>
      <c r="F27">
        <v>24</v>
      </c>
      <c r="G27">
        <v>2</v>
      </c>
      <c r="H27">
        <v>2023</v>
      </c>
      <c r="I27" t="s">
        <v>61</v>
      </c>
      <c r="J27" t="str">
        <f t="shared" si="0"/>
        <v>Quarterfinal</v>
      </c>
      <c r="K27">
        <f t="shared" si="1"/>
        <v>0</v>
      </c>
    </row>
    <row r="28" spans="1:11">
      <c r="A28" t="s">
        <v>64</v>
      </c>
      <c r="B28" t="s">
        <v>65</v>
      </c>
      <c r="C28" t="s">
        <v>12</v>
      </c>
      <c r="D28" t="s">
        <v>17</v>
      </c>
      <c r="E28">
        <v>0.25</v>
      </c>
      <c r="F28">
        <v>21</v>
      </c>
      <c r="G28">
        <v>3</v>
      </c>
      <c r="H28">
        <v>2023</v>
      </c>
      <c r="I28" t="s">
        <v>61</v>
      </c>
      <c r="J28" t="str">
        <f t="shared" si="0"/>
        <v>Quarterfinal</v>
      </c>
      <c r="K28">
        <f t="shared" si="1"/>
        <v>0</v>
      </c>
    </row>
    <row r="29" spans="1:11">
      <c r="A29" t="s">
        <v>29</v>
      </c>
      <c r="B29" t="s">
        <v>30</v>
      </c>
      <c r="C29" t="s">
        <v>24</v>
      </c>
      <c r="D29" t="s">
        <v>31</v>
      </c>
      <c r="E29">
        <v>0.25</v>
      </c>
      <c r="F29">
        <v>35</v>
      </c>
      <c r="G29">
        <v>1</v>
      </c>
      <c r="H29">
        <v>2023</v>
      </c>
      <c r="I29" t="s">
        <v>66</v>
      </c>
      <c r="J29" t="str">
        <f t="shared" si="0"/>
        <v>Quarterfinal</v>
      </c>
      <c r="K29">
        <f t="shared" si="1"/>
        <v>1</v>
      </c>
    </row>
    <row r="30" spans="1:11">
      <c r="A30" t="s">
        <v>67</v>
      </c>
      <c r="B30" t="s">
        <v>68</v>
      </c>
      <c r="C30" t="s">
        <v>39</v>
      </c>
      <c r="D30" t="s">
        <v>17</v>
      </c>
      <c r="E30">
        <v>0.25</v>
      </c>
      <c r="F30">
        <v>32</v>
      </c>
      <c r="G30">
        <v>2</v>
      </c>
      <c r="H30">
        <v>2023</v>
      </c>
      <c r="I30" t="s">
        <v>66</v>
      </c>
      <c r="J30" t="str">
        <f t="shared" si="0"/>
        <v>Quarterfinal</v>
      </c>
      <c r="K30">
        <f t="shared" si="1"/>
        <v>0</v>
      </c>
    </row>
    <row r="31" spans="1:11">
      <c r="A31" t="s">
        <v>69</v>
      </c>
      <c r="B31" t="s">
        <v>70</v>
      </c>
      <c r="C31" t="s">
        <v>27</v>
      </c>
      <c r="D31" t="s">
        <v>13</v>
      </c>
      <c r="E31">
        <v>0.25</v>
      </c>
      <c r="F31">
        <v>21</v>
      </c>
      <c r="G31">
        <v>3</v>
      </c>
      <c r="H31">
        <v>2023</v>
      </c>
      <c r="I31" t="s">
        <v>66</v>
      </c>
      <c r="J31" t="str">
        <f t="shared" si="0"/>
        <v>Quarterfinal</v>
      </c>
      <c r="K31">
        <f t="shared" si="1"/>
        <v>0</v>
      </c>
    </row>
    <row r="32" spans="1:11">
      <c r="A32" t="s">
        <v>37</v>
      </c>
      <c r="B32" t="s">
        <v>38</v>
      </c>
      <c r="C32" t="s">
        <v>39</v>
      </c>
      <c r="D32" t="s">
        <v>13</v>
      </c>
      <c r="E32">
        <v>0.25</v>
      </c>
      <c r="F32">
        <v>48</v>
      </c>
      <c r="G32">
        <v>1</v>
      </c>
      <c r="H32">
        <v>2023</v>
      </c>
      <c r="I32" t="s">
        <v>71</v>
      </c>
      <c r="J32" t="str">
        <f t="shared" si="0"/>
        <v>Quarterfinal</v>
      </c>
      <c r="K32">
        <f t="shared" si="1"/>
        <v>1</v>
      </c>
    </row>
    <row r="33" spans="1:11">
      <c r="A33" t="s">
        <v>72</v>
      </c>
      <c r="B33" t="s">
        <v>73</v>
      </c>
      <c r="C33" t="s">
        <v>74</v>
      </c>
      <c r="D33" t="s">
        <v>13</v>
      </c>
      <c r="E33">
        <v>0.25</v>
      </c>
      <c r="F33">
        <v>42</v>
      </c>
      <c r="G33">
        <v>2</v>
      </c>
      <c r="H33">
        <v>2023</v>
      </c>
      <c r="I33" t="s">
        <v>71</v>
      </c>
      <c r="J33" t="str">
        <f t="shared" si="0"/>
        <v>Quarterfinal</v>
      </c>
      <c r="K33">
        <f t="shared" si="1"/>
        <v>0</v>
      </c>
    </row>
    <row r="34" spans="1:11">
      <c r="A34" t="s">
        <v>75</v>
      </c>
      <c r="B34" t="s">
        <v>76</v>
      </c>
      <c r="C34" t="s">
        <v>39</v>
      </c>
      <c r="D34" t="s">
        <v>17</v>
      </c>
      <c r="E34">
        <v>0.25</v>
      </c>
      <c r="F34">
        <v>20</v>
      </c>
      <c r="G34">
        <v>3</v>
      </c>
      <c r="H34">
        <v>2023</v>
      </c>
      <c r="I34" t="s">
        <v>71</v>
      </c>
      <c r="J34" t="str">
        <f t="shared" si="0"/>
        <v>Quarterfinal</v>
      </c>
      <c r="K34">
        <f t="shared" si="1"/>
        <v>0</v>
      </c>
    </row>
    <row r="35" spans="1:11">
      <c r="A35" t="s">
        <v>25</v>
      </c>
      <c r="B35" t="s">
        <v>26</v>
      </c>
      <c r="C35" t="s">
        <v>27</v>
      </c>
      <c r="D35" t="s">
        <v>17</v>
      </c>
      <c r="E35">
        <v>0.25</v>
      </c>
      <c r="F35">
        <v>44</v>
      </c>
      <c r="G35">
        <v>1</v>
      </c>
      <c r="H35">
        <v>2023</v>
      </c>
      <c r="I35" t="s">
        <v>77</v>
      </c>
      <c r="J35" t="str">
        <f t="shared" si="0"/>
        <v>Quarterfinal</v>
      </c>
      <c r="K35">
        <f t="shared" si="1"/>
        <v>1</v>
      </c>
    </row>
    <row r="36" spans="1:11">
      <c r="A36" t="s">
        <v>78</v>
      </c>
      <c r="B36" t="s">
        <v>79</v>
      </c>
      <c r="C36" t="s">
        <v>80</v>
      </c>
      <c r="D36" t="s">
        <v>17</v>
      </c>
      <c r="E36">
        <v>0.25</v>
      </c>
      <c r="F36">
        <v>35</v>
      </c>
      <c r="G36">
        <v>2</v>
      </c>
      <c r="H36">
        <v>2023</v>
      </c>
      <c r="I36" t="s">
        <v>77</v>
      </c>
      <c r="J36" t="str">
        <f t="shared" si="0"/>
        <v>Quarterfinal</v>
      </c>
      <c r="K36">
        <f t="shared" si="1"/>
        <v>0</v>
      </c>
    </row>
    <row r="37" spans="1:11">
      <c r="A37" t="s">
        <v>81</v>
      </c>
      <c r="B37" t="s">
        <v>82</v>
      </c>
      <c r="C37" t="s">
        <v>24</v>
      </c>
      <c r="D37" t="s">
        <v>13</v>
      </c>
      <c r="E37">
        <v>0.25</v>
      </c>
      <c r="F37">
        <v>32</v>
      </c>
      <c r="G37">
        <v>3</v>
      </c>
      <c r="H37">
        <v>2023</v>
      </c>
      <c r="I37" t="s">
        <v>77</v>
      </c>
      <c r="J37" t="str">
        <f t="shared" si="0"/>
        <v>Quarterfinal</v>
      </c>
      <c r="K37">
        <f t="shared" si="1"/>
        <v>0</v>
      </c>
    </row>
    <row r="38" spans="1:11">
      <c r="A38" t="s">
        <v>22</v>
      </c>
      <c r="B38" t="s">
        <v>23</v>
      </c>
      <c r="C38" t="s">
        <v>24</v>
      </c>
      <c r="D38" t="s">
        <v>13</v>
      </c>
      <c r="E38">
        <v>0.25</v>
      </c>
      <c r="F38">
        <v>32</v>
      </c>
      <c r="G38">
        <v>1</v>
      </c>
      <c r="H38">
        <v>2023</v>
      </c>
      <c r="I38" t="s">
        <v>83</v>
      </c>
      <c r="J38" t="str">
        <f t="shared" si="0"/>
        <v>Quarterfinal</v>
      </c>
      <c r="K38">
        <f t="shared" si="1"/>
        <v>1</v>
      </c>
    </row>
    <row r="39" spans="1:11">
      <c r="A39" t="s">
        <v>84</v>
      </c>
      <c r="B39" t="s">
        <v>85</v>
      </c>
      <c r="C39" t="s">
        <v>39</v>
      </c>
      <c r="D39" t="s">
        <v>17</v>
      </c>
      <c r="E39">
        <v>0.25</v>
      </c>
      <c r="F39">
        <v>29</v>
      </c>
      <c r="G39">
        <v>2</v>
      </c>
      <c r="H39">
        <v>2023</v>
      </c>
      <c r="I39" t="s">
        <v>83</v>
      </c>
      <c r="J39" t="str">
        <f t="shared" si="0"/>
        <v>Quarterfinal</v>
      </c>
      <c r="K39">
        <f t="shared" si="1"/>
        <v>0</v>
      </c>
    </row>
    <row r="40" spans="1:11">
      <c r="A40" t="s">
        <v>86</v>
      </c>
      <c r="B40" t="s">
        <v>87</v>
      </c>
      <c r="C40" t="s">
        <v>20</v>
      </c>
      <c r="D40" t="s">
        <v>17</v>
      </c>
      <c r="E40">
        <v>0.25</v>
      </c>
      <c r="F40">
        <v>28</v>
      </c>
      <c r="G40">
        <v>3</v>
      </c>
      <c r="H40">
        <v>2023</v>
      </c>
      <c r="I40" t="s">
        <v>83</v>
      </c>
      <c r="J40" t="str">
        <f t="shared" si="0"/>
        <v>Quarterfinal</v>
      </c>
      <c r="K40">
        <f t="shared" si="1"/>
        <v>0</v>
      </c>
    </row>
    <row r="41" spans="1:11">
      <c r="A41" t="s">
        <v>29</v>
      </c>
      <c r="B41" t="s">
        <v>30</v>
      </c>
      <c r="C41" t="s">
        <v>24</v>
      </c>
      <c r="D41" t="s">
        <v>31</v>
      </c>
      <c r="E41">
        <v>0.125</v>
      </c>
      <c r="F41">
        <v>54</v>
      </c>
      <c r="G41">
        <v>1</v>
      </c>
      <c r="H41">
        <v>2023</v>
      </c>
      <c r="I41" t="s">
        <v>88</v>
      </c>
      <c r="J41" t="str">
        <f t="shared" si="0"/>
        <v>Preliminary</v>
      </c>
      <c r="K41">
        <f t="shared" si="1"/>
        <v>1</v>
      </c>
    </row>
    <row r="42" spans="1:11">
      <c r="A42" t="s">
        <v>89</v>
      </c>
      <c r="B42" t="s">
        <v>90</v>
      </c>
      <c r="C42" t="s">
        <v>50</v>
      </c>
      <c r="D42" t="s">
        <v>31</v>
      </c>
      <c r="E42">
        <v>0.125</v>
      </c>
      <c r="F42">
        <v>25</v>
      </c>
      <c r="G42">
        <v>2</v>
      </c>
      <c r="H42">
        <v>2023</v>
      </c>
      <c r="I42" t="s">
        <v>88</v>
      </c>
      <c r="J42" t="str">
        <f t="shared" si="0"/>
        <v>Preliminary</v>
      </c>
      <c r="K42">
        <f t="shared" si="1"/>
        <v>0</v>
      </c>
    </row>
    <row r="43" spans="1:11">
      <c r="A43" t="s">
        <v>91</v>
      </c>
      <c r="B43" t="s">
        <v>92</v>
      </c>
      <c r="C43" t="s">
        <v>12</v>
      </c>
      <c r="D43" t="s">
        <v>17</v>
      </c>
      <c r="E43">
        <v>0.125</v>
      </c>
      <c r="F43">
        <v>24</v>
      </c>
      <c r="G43">
        <v>3</v>
      </c>
      <c r="H43">
        <v>2023</v>
      </c>
      <c r="I43" t="s">
        <v>88</v>
      </c>
      <c r="J43" t="str">
        <f t="shared" si="0"/>
        <v>Preliminary</v>
      </c>
      <c r="K43">
        <f t="shared" si="1"/>
        <v>0</v>
      </c>
    </row>
    <row r="44" spans="1:11">
      <c r="A44" t="s">
        <v>37</v>
      </c>
      <c r="B44" t="s">
        <v>38</v>
      </c>
      <c r="C44" t="s">
        <v>39</v>
      </c>
      <c r="D44" t="s">
        <v>13</v>
      </c>
      <c r="E44">
        <v>0.125</v>
      </c>
      <c r="F44">
        <v>56</v>
      </c>
      <c r="G44">
        <v>1</v>
      </c>
      <c r="H44">
        <v>2023</v>
      </c>
      <c r="I44" t="s">
        <v>93</v>
      </c>
      <c r="J44" t="str">
        <f t="shared" si="0"/>
        <v>Preliminary</v>
      </c>
      <c r="K44">
        <f t="shared" si="1"/>
        <v>1</v>
      </c>
    </row>
    <row r="45" spans="1:11">
      <c r="A45" t="s">
        <v>94</v>
      </c>
      <c r="B45" t="s">
        <v>95</v>
      </c>
      <c r="C45" t="s">
        <v>20</v>
      </c>
      <c r="D45" t="s">
        <v>17</v>
      </c>
      <c r="E45">
        <v>0.125</v>
      </c>
      <c r="F45">
        <v>47</v>
      </c>
      <c r="G45">
        <v>2</v>
      </c>
      <c r="H45">
        <v>2023</v>
      </c>
      <c r="I45" t="s">
        <v>93</v>
      </c>
      <c r="J45" t="str">
        <f t="shared" si="0"/>
        <v>Preliminary</v>
      </c>
      <c r="K45">
        <f t="shared" si="1"/>
        <v>0</v>
      </c>
    </row>
    <row r="46" spans="1:11">
      <c r="A46" t="s">
        <v>96</v>
      </c>
      <c r="B46" t="s">
        <v>97</v>
      </c>
      <c r="C46" t="s">
        <v>74</v>
      </c>
      <c r="D46" t="s">
        <v>17</v>
      </c>
      <c r="E46">
        <v>0.125</v>
      </c>
      <c r="F46">
        <v>29</v>
      </c>
      <c r="G46">
        <v>3</v>
      </c>
      <c r="H46">
        <v>2023</v>
      </c>
      <c r="I46" t="s">
        <v>93</v>
      </c>
      <c r="J46" t="str">
        <f t="shared" si="0"/>
        <v>Preliminary</v>
      </c>
      <c r="K46">
        <f t="shared" si="1"/>
        <v>0</v>
      </c>
    </row>
    <row r="47" spans="1:11">
      <c r="A47" t="s">
        <v>54</v>
      </c>
      <c r="B47" t="s">
        <v>55</v>
      </c>
      <c r="C47" t="s">
        <v>20</v>
      </c>
      <c r="D47" t="s">
        <v>17</v>
      </c>
      <c r="E47">
        <v>0.125</v>
      </c>
      <c r="F47">
        <v>49</v>
      </c>
      <c r="G47">
        <v>1</v>
      </c>
      <c r="H47">
        <v>2023</v>
      </c>
      <c r="I47" t="s">
        <v>98</v>
      </c>
      <c r="J47" t="str">
        <f t="shared" si="0"/>
        <v>Preliminary</v>
      </c>
      <c r="K47">
        <f t="shared" si="1"/>
        <v>1</v>
      </c>
    </row>
    <row r="48" spans="1:11">
      <c r="A48" t="s">
        <v>99</v>
      </c>
      <c r="B48" t="s">
        <v>100</v>
      </c>
      <c r="C48" t="s">
        <v>20</v>
      </c>
      <c r="D48" t="s">
        <v>17</v>
      </c>
      <c r="E48">
        <v>0.125</v>
      </c>
      <c r="F48">
        <v>29</v>
      </c>
      <c r="G48">
        <v>2</v>
      </c>
      <c r="H48">
        <v>2023</v>
      </c>
      <c r="I48" t="s">
        <v>98</v>
      </c>
      <c r="J48" t="str">
        <f t="shared" si="0"/>
        <v>Preliminary</v>
      </c>
      <c r="K48">
        <f t="shared" si="1"/>
        <v>0</v>
      </c>
    </row>
    <row r="49" spans="1:11">
      <c r="A49" t="s">
        <v>101</v>
      </c>
      <c r="B49" t="s">
        <v>102</v>
      </c>
      <c r="C49" t="s">
        <v>74</v>
      </c>
      <c r="D49" t="s">
        <v>31</v>
      </c>
      <c r="E49">
        <v>0.125</v>
      </c>
      <c r="F49">
        <v>27</v>
      </c>
      <c r="G49">
        <v>3</v>
      </c>
      <c r="H49">
        <v>2023</v>
      </c>
      <c r="I49" t="s">
        <v>98</v>
      </c>
      <c r="J49" t="str">
        <f t="shared" si="0"/>
        <v>Preliminary</v>
      </c>
      <c r="K49">
        <f t="shared" si="1"/>
        <v>0</v>
      </c>
    </row>
    <row r="50" spans="1:11">
      <c r="A50" t="s">
        <v>86</v>
      </c>
      <c r="B50" t="s">
        <v>87</v>
      </c>
      <c r="C50" t="s">
        <v>20</v>
      </c>
      <c r="D50" t="s">
        <v>17</v>
      </c>
      <c r="E50">
        <v>0.125</v>
      </c>
      <c r="F50">
        <v>50</v>
      </c>
      <c r="G50">
        <v>1</v>
      </c>
      <c r="H50">
        <v>2023</v>
      </c>
      <c r="I50" t="s">
        <v>103</v>
      </c>
      <c r="J50" t="str">
        <f t="shared" si="0"/>
        <v>Preliminary</v>
      </c>
      <c r="K50">
        <f t="shared" si="1"/>
        <v>1</v>
      </c>
    </row>
    <row r="51" spans="1:11">
      <c r="A51" t="s">
        <v>104</v>
      </c>
      <c r="B51" t="s">
        <v>105</v>
      </c>
      <c r="C51" t="s">
        <v>12</v>
      </c>
      <c r="D51" t="s">
        <v>17</v>
      </c>
      <c r="E51">
        <v>0.125</v>
      </c>
      <c r="F51">
        <v>43</v>
      </c>
      <c r="G51">
        <v>2</v>
      </c>
      <c r="H51">
        <v>2023</v>
      </c>
      <c r="I51" t="s">
        <v>103</v>
      </c>
      <c r="J51" t="str">
        <f t="shared" si="0"/>
        <v>Preliminary</v>
      </c>
      <c r="K51">
        <f t="shared" si="1"/>
        <v>0</v>
      </c>
    </row>
    <row r="52" spans="1:11">
      <c r="A52" t="s">
        <v>106</v>
      </c>
      <c r="B52" t="s">
        <v>107</v>
      </c>
      <c r="C52" t="s">
        <v>24</v>
      </c>
      <c r="D52" t="s">
        <v>17</v>
      </c>
      <c r="E52">
        <v>0.125</v>
      </c>
      <c r="F52">
        <v>33</v>
      </c>
      <c r="G52">
        <v>3</v>
      </c>
      <c r="H52">
        <v>2023</v>
      </c>
      <c r="I52" t="s">
        <v>103</v>
      </c>
      <c r="J52" t="str">
        <f t="shared" si="0"/>
        <v>Preliminary</v>
      </c>
      <c r="K52">
        <f t="shared" si="1"/>
        <v>0</v>
      </c>
    </row>
    <row r="53" spans="1:11">
      <c r="A53" t="s">
        <v>52</v>
      </c>
      <c r="B53" t="s">
        <v>53</v>
      </c>
      <c r="C53" t="s">
        <v>20</v>
      </c>
      <c r="D53" t="s">
        <v>13</v>
      </c>
      <c r="E53">
        <v>0.125</v>
      </c>
      <c r="F53">
        <v>40</v>
      </c>
      <c r="G53">
        <v>1</v>
      </c>
      <c r="H53">
        <v>2023</v>
      </c>
      <c r="I53" t="s">
        <v>108</v>
      </c>
      <c r="J53" t="str">
        <f t="shared" si="0"/>
        <v>Preliminary</v>
      </c>
      <c r="K53">
        <f t="shared" si="1"/>
        <v>1</v>
      </c>
    </row>
    <row r="54" spans="1:11">
      <c r="A54" t="s">
        <v>109</v>
      </c>
      <c r="B54" t="s">
        <v>110</v>
      </c>
      <c r="C54" t="s">
        <v>39</v>
      </c>
      <c r="D54" t="s">
        <v>17</v>
      </c>
      <c r="E54">
        <v>0.125</v>
      </c>
      <c r="F54">
        <v>36</v>
      </c>
      <c r="G54">
        <v>2</v>
      </c>
      <c r="H54">
        <v>2023</v>
      </c>
      <c r="I54" t="s">
        <v>108</v>
      </c>
      <c r="J54" t="str">
        <f t="shared" si="0"/>
        <v>Preliminary</v>
      </c>
      <c r="K54">
        <f t="shared" si="1"/>
        <v>0</v>
      </c>
    </row>
    <row r="55" spans="1:11">
      <c r="A55" t="s">
        <v>111</v>
      </c>
      <c r="B55" t="s">
        <v>112</v>
      </c>
      <c r="C55" t="s">
        <v>27</v>
      </c>
      <c r="D55" t="s">
        <v>17</v>
      </c>
      <c r="E55">
        <v>0.125</v>
      </c>
      <c r="F55">
        <v>34</v>
      </c>
      <c r="G55">
        <v>3</v>
      </c>
      <c r="H55">
        <v>2023</v>
      </c>
      <c r="I55" t="s">
        <v>108</v>
      </c>
      <c r="J55" t="str">
        <f t="shared" si="0"/>
        <v>Preliminary</v>
      </c>
      <c r="K55">
        <f t="shared" si="1"/>
        <v>0</v>
      </c>
    </row>
    <row r="56" spans="1:11">
      <c r="A56" t="s">
        <v>48</v>
      </c>
      <c r="B56" t="s">
        <v>49</v>
      </c>
      <c r="C56" t="s">
        <v>50</v>
      </c>
      <c r="D56" t="s">
        <v>13</v>
      </c>
      <c r="E56">
        <v>0.125</v>
      </c>
      <c r="F56">
        <v>46</v>
      </c>
      <c r="G56">
        <v>1</v>
      </c>
      <c r="H56">
        <v>2023</v>
      </c>
      <c r="I56" t="s">
        <v>113</v>
      </c>
      <c r="J56" t="str">
        <f t="shared" si="0"/>
        <v>Preliminary</v>
      </c>
      <c r="K56">
        <f t="shared" si="1"/>
        <v>1</v>
      </c>
    </row>
    <row r="57" spans="1:11">
      <c r="A57" t="s">
        <v>114</v>
      </c>
      <c r="B57" t="s">
        <v>115</v>
      </c>
      <c r="C57" t="s">
        <v>12</v>
      </c>
      <c r="D57" t="s">
        <v>17</v>
      </c>
      <c r="E57">
        <v>0.125</v>
      </c>
      <c r="F57">
        <v>40</v>
      </c>
      <c r="G57">
        <v>2</v>
      </c>
      <c r="H57">
        <v>2023</v>
      </c>
      <c r="I57" t="s">
        <v>113</v>
      </c>
      <c r="J57" t="str">
        <f t="shared" si="0"/>
        <v>Preliminary</v>
      </c>
      <c r="K57">
        <f t="shared" si="1"/>
        <v>0</v>
      </c>
    </row>
    <row r="58" spans="1:11">
      <c r="A58" t="s">
        <v>116</v>
      </c>
      <c r="B58" t="s">
        <v>117</v>
      </c>
      <c r="C58" t="s">
        <v>118</v>
      </c>
      <c r="D58" t="s">
        <v>13</v>
      </c>
      <c r="E58">
        <v>0.125</v>
      </c>
      <c r="F58">
        <v>34</v>
      </c>
      <c r="G58">
        <v>3</v>
      </c>
      <c r="H58">
        <v>2023</v>
      </c>
      <c r="I58" t="s">
        <v>113</v>
      </c>
      <c r="J58" t="str">
        <f t="shared" si="0"/>
        <v>Preliminary</v>
      </c>
      <c r="K58">
        <f t="shared" si="1"/>
        <v>0</v>
      </c>
    </row>
    <row r="59" spans="1:11">
      <c r="A59" t="s">
        <v>41</v>
      </c>
      <c r="B59" t="s">
        <v>42</v>
      </c>
      <c r="C59" t="s">
        <v>27</v>
      </c>
      <c r="D59" t="s">
        <v>17</v>
      </c>
      <c r="E59">
        <v>0.125</v>
      </c>
      <c r="F59">
        <v>52</v>
      </c>
      <c r="G59">
        <v>1</v>
      </c>
      <c r="H59">
        <v>2023</v>
      </c>
      <c r="I59" t="s">
        <v>119</v>
      </c>
      <c r="J59" t="str">
        <f t="shared" si="0"/>
        <v>Preliminary</v>
      </c>
      <c r="K59">
        <f t="shared" si="1"/>
        <v>1</v>
      </c>
    </row>
    <row r="60" spans="1:11">
      <c r="A60" t="s">
        <v>120</v>
      </c>
      <c r="B60" t="s">
        <v>121</v>
      </c>
      <c r="C60" t="s">
        <v>20</v>
      </c>
      <c r="D60" t="s">
        <v>17</v>
      </c>
      <c r="E60">
        <v>0.125</v>
      </c>
      <c r="F60">
        <v>37</v>
      </c>
      <c r="G60">
        <v>2</v>
      </c>
      <c r="H60">
        <v>2023</v>
      </c>
      <c r="I60" t="s">
        <v>119</v>
      </c>
      <c r="J60" t="str">
        <f t="shared" si="0"/>
        <v>Preliminary</v>
      </c>
      <c r="K60">
        <f t="shared" si="1"/>
        <v>0</v>
      </c>
    </row>
    <row r="61" spans="1:11">
      <c r="A61" t="s">
        <v>122</v>
      </c>
      <c r="B61" t="s">
        <v>123</v>
      </c>
      <c r="C61" t="s">
        <v>27</v>
      </c>
      <c r="D61" t="s">
        <v>31</v>
      </c>
      <c r="E61">
        <v>0.125</v>
      </c>
      <c r="F61">
        <v>31</v>
      </c>
      <c r="G61">
        <v>3</v>
      </c>
      <c r="H61">
        <v>2023</v>
      </c>
      <c r="I61" t="s">
        <v>119</v>
      </c>
      <c r="J61" t="str">
        <f t="shared" si="0"/>
        <v>Preliminary</v>
      </c>
      <c r="K61">
        <f t="shared" si="1"/>
        <v>0</v>
      </c>
    </row>
    <row r="62" spans="1:11">
      <c r="A62" t="s">
        <v>18</v>
      </c>
      <c r="B62" t="s">
        <v>19</v>
      </c>
      <c r="C62" t="s">
        <v>20</v>
      </c>
      <c r="D62" t="s">
        <v>13</v>
      </c>
      <c r="E62">
        <v>0.125</v>
      </c>
      <c r="F62">
        <v>49</v>
      </c>
      <c r="G62">
        <v>1</v>
      </c>
      <c r="H62">
        <v>2023</v>
      </c>
      <c r="I62" t="s">
        <v>124</v>
      </c>
      <c r="J62" t="str">
        <f t="shared" si="0"/>
        <v>Preliminary</v>
      </c>
      <c r="K62">
        <f t="shared" si="1"/>
        <v>1</v>
      </c>
    </row>
    <row r="63" spans="1:11">
      <c r="A63" t="s">
        <v>125</v>
      </c>
      <c r="B63" t="s">
        <v>126</v>
      </c>
      <c r="C63" t="s">
        <v>80</v>
      </c>
      <c r="D63" t="s">
        <v>17</v>
      </c>
      <c r="E63">
        <v>0.125</v>
      </c>
      <c r="F63">
        <v>42</v>
      </c>
      <c r="G63">
        <v>2</v>
      </c>
      <c r="H63">
        <v>2023</v>
      </c>
      <c r="I63" t="s">
        <v>124</v>
      </c>
      <c r="J63" t="str">
        <f t="shared" si="0"/>
        <v>Preliminary</v>
      </c>
      <c r="K63">
        <f t="shared" si="1"/>
        <v>0</v>
      </c>
    </row>
    <row r="64" spans="1:11">
      <c r="A64" t="s">
        <v>127</v>
      </c>
      <c r="B64" t="s">
        <v>128</v>
      </c>
      <c r="C64" t="s">
        <v>39</v>
      </c>
      <c r="D64" t="s">
        <v>17</v>
      </c>
      <c r="E64">
        <v>0.125</v>
      </c>
      <c r="F64">
        <v>20</v>
      </c>
      <c r="G64">
        <v>3</v>
      </c>
      <c r="H64">
        <v>2023</v>
      </c>
      <c r="I64" t="s">
        <v>124</v>
      </c>
      <c r="J64" t="str">
        <f t="shared" si="0"/>
        <v>Preliminary</v>
      </c>
      <c r="K64">
        <f t="shared" si="1"/>
        <v>0</v>
      </c>
    </row>
    <row r="65" spans="1:11">
      <c r="A65" t="s">
        <v>78</v>
      </c>
      <c r="B65" t="s">
        <v>79</v>
      </c>
      <c r="C65" t="s">
        <v>80</v>
      </c>
      <c r="D65" t="s">
        <v>17</v>
      </c>
      <c r="E65">
        <v>0.125</v>
      </c>
      <c r="F65">
        <v>51</v>
      </c>
      <c r="G65">
        <v>1</v>
      </c>
      <c r="H65">
        <v>2023</v>
      </c>
      <c r="I65" t="s">
        <v>129</v>
      </c>
      <c r="J65" t="str">
        <f t="shared" si="0"/>
        <v>Preliminary</v>
      </c>
      <c r="K65">
        <f t="shared" si="1"/>
        <v>1</v>
      </c>
    </row>
    <row r="66" spans="1:11">
      <c r="A66" t="s">
        <v>130</v>
      </c>
      <c r="B66" t="s">
        <v>131</v>
      </c>
      <c r="C66" t="s">
        <v>12</v>
      </c>
      <c r="D66" t="s">
        <v>17</v>
      </c>
      <c r="E66">
        <v>0.125</v>
      </c>
      <c r="F66">
        <v>47</v>
      </c>
      <c r="G66">
        <v>2</v>
      </c>
      <c r="H66">
        <v>2023</v>
      </c>
      <c r="I66" t="s">
        <v>129</v>
      </c>
      <c r="J66" t="str">
        <f t="shared" si="0"/>
        <v>Preliminary</v>
      </c>
      <c r="K66">
        <f t="shared" si="1"/>
        <v>0</v>
      </c>
    </row>
    <row r="67" spans="1:11">
      <c r="A67" t="s">
        <v>132</v>
      </c>
      <c r="B67" t="s">
        <v>133</v>
      </c>
      <c r="C67" t="s">
        <v>39</v>
      </c>
      <c r="D67" t="s">
        <v>31</v>
      </c>
      <c r="E67">
        <v>0.125</v>
      </c>
      <c r="F67">
        <v>14</v>
      </c>
      <c r="G67">
        <v>3</v>
      </c>
      <c r="H67">
        <v>2023</v>
      </c>
      <c r="I67" t="s">
        <v>129</v>
      </c>
      <c r="J67" t="str">
        <f t="shared" ref="J67:J130" si="2">IF(E67=1,"Final",IF(E67=0.5,"Semifinal",IF(E67=0.25,"Quarterfinal",IF(E67=0.125,"Preliminary","Unknown"))))</f>
        <v>Preliminary</v>
      </c>
      <c r="K67">
        <f t="shared" ref="K67:K130" si="3">IF(G67=1,1,0)</f>
        <v>0</v>
      </c>
    </row>
    <row r="68" spans="1:11">
      <c r="A68" t="s">
        <v>69</v>
      </c>
      <c r="B68" t="s">
        <v>70</v>
      </c>
      <c r="C68" t="s">
        <v>27</v>
      </c>
      <c r="D68" t="s">
        <v>13</v>
      </c>
      <c r="E68">
        <v>0.125</v>
      </c>
      <c r="F68">
        <v>37</v>
      </c>
      <c r="G68">
        <v>1</v>
      </c>
      <c r="H68">
        <v>2023</v>
      </c>
      <c r="I68" t="s">
        <v>134</v>
      </c>
      <c r="J68" t="str">
        <f t="shared" si="2"/>
        <v>Preliminary</v>
      </c>
      <c r="K68">
        <f t="shared" si="3"/>
        <v>1</v>
      </c>
    </row>
    <row r="69" spans="1:11">
      <c r="A69" t="s">
        <v>135</v>
      </c>
      <c r="B69" t="s">
        <v>136</v>
      </c>
      <c r="C69" t="s">
        <v>27</v>
      </c>
      <c r="D69" t="s">
        <v>17</v>
      </c>
      <c r="E69">
        <v>0.125</v>
      </c>
      <c r="F69">
        <v>31</v>
      </c>
      <c r="G69">
        <v>2</v>
      </c>
      <c r="H69">
        <v>2023</v>
      </c>
      <c r="I69" t="s">
        <v>134</v>
      </c>
      <c r="J69" t="str">
        <f t="shared" si="2"/>
        <v>Preliminary</v>
      </c>
      <c r="K69">
        <f t="shared" si="3"/>
        <v>0</v>
      </c>
    </row>
    <row r="70" spans="1:11">
      <c r="A70" t="s">
        <v>137</v>
      </c>
      <c r="B70" t="s">
        <v>138</v>
      </c>
      <c r="C70" t="s">
        <v>27</v>
      </c>
      <c r="D70" t="s">
        <v>31</v>
      </c>
      <c r="E70">
        <v>0.125</v>
      </c>
      <c r="F70">
        <v>24</v>
      </c>
      <c r="G70">
        <v>3</v>
      </c>
      <c r="H70">
        <v>2023</v>
      </c>
      <c r="I70" t="s">
        <v>134</v>
      </c>
      <c r="J70" t="str">
        <f t="shared" si="2"/>
        <v>Preliminary</v>
      </c>
      <c r="K70">
        <f t="shared" si="3"/>
        <v>0</v>
      </c>
    </row>
    <row r="71" spans="1:11">
      <c r="A71" t="s">
        <v>67</v>
      </c>
      <c r="B71" t="s">
        <v>68</v>
      </c>
      <c r="C71" t="s">
        <v>39</v>
      </c>
      <c r="D71" t="s">
        <v>17</v>
      </c>
      <c r="E71">
        <v>0.125</v>
      </c>
      <c r="F71">
        <v>43</v>
      </c>
      <c r="G71">
        <v>1</v>
      </c>
      <c r="H71">
        <v>2023</v>
      </c>
      <c r="I71" t="s">
        <v>139</v>
      </c>
      <c r="J71" t="str">
        <f t="shared" si="2"/>
        <v>Preliminary</v>
      </c>
      <c r="K71">
        <f t="shared" si="3"/>
        <v>1</v>
      </c>
    </row>
    <row r="72" spans="1:11">
      <c r="A72" t="s">
        <v>140</v>
      </c>
      <c r="B72" t="s">
        <v>141</v>
      </c>
      <c r="C72" t="s">
        <v>24</v>
      </c>
      <c r="D72" t="s">
        <v>17</v>
      </c>
      <c r="E72">
        <v>0.125</v>
      </c>
      <c r="F72">
        <v>39</v>
      </c>
      <c r="G72">
        <v>2</v>
      </c>
      <c r="H72">
        <v>2023</v>
      </c>
      <c r="I72" t="s">
        <v>139</v>
      </c>
      <c r="J72" t="str">
        <f t="shared" si="2"/>
        <v>Preliminary</v>
      </c>
      <c r="K72">
        <f t="shared" si="3"/>
        <v>0</v>
      </c>
    </row>
    <row r="73" spans="1:11">
      <c r="A73" t="s">
        <v>142</v>
      </c>
      <c r="B73" t="s">
        <v>143</v>
      </c>
      <c r="C73" t="s">
        <v>24</v>
      </c>
      <c r="D73" t="s">
        <v>17</v>
      </c>
      <c r="E73">
        <v>0.125</v>
      </c>
      <c r="F73">
        <v>34</v>
      </c>
      <c r="G73">
        <v>3</v>
      </c>
      <c r="H73">
        <v>2023</v>
      </c>
      <c r="I73" t="s">
        <v>139</v>
      </c>
      <c r="J73" t="str">
        <f t="shared" si="2"/>
        <v>Preliminary</v>
      </c>
      <c r="K73">
        <f t="shared" si="3"/>
        <v>0</v>
      </c>
    </row>
    <row r="74" spans="1:11">
      <c r="A74" t="s">
        <v>15</v>
      </c>
      <c r="B74" t="s">
        <v>16</v>
      </c>
      <c r="C74" t="s">
        <v>12</v>
      </c>
      <c r="D74" t="s">
        <v>17</v>
      </c>
      <c r="E74">
        <v>0.125</v>
      </c>
      <c r="F74">
        <v>66</v>
      </c>
      <c r="G74">
        <v>1</v>
      </c>
      <c r="H74">
        <v>2023</v>
      </c>
      <c r="I74" t="s">
        <v>144</v>
      </c>
      <c r="J74" t="str">
        <f t="shared" si="2"/>
        <v>Preliminary</v>
      </c>
      <c r="K74">
        <f t="shared" si="3"/>
        <v>1</v>
      </c>
    </row>
    <row r="75" spans="1:11">
      <c r="A75" t="s">
        <v>145</v>
      </c>
      <c r="B75" t="s">
        <v>146</v>
      </c>
      <c r="C75" t="s">
        <v>24</v>
      </c>
      <c r="D75" t="s">
        <v>31</v>
      </c>
      <c r="E75">
        <v>0.125</v>
      </c>
      <c r="F75">
        <v>41</v>
      </c>
      <c r="G75">
        <v>2</v>
      </c>
      <c r="H75">
        <v>2023</v>
      </c>
      <c r="I75" t="s">
        <v>144</v>
      </c>
      <c r="J75" t="str">
        <f t="shared" si="2"/>
        <v>Preliminary</v>
      </c>
      <c r="K75">
        <f t="shared" si="3"/>
        <v>0</v>
      </c>
    </row>
    <row r="76" spans="1:11">
      <c r="A76" t="s">
        <v>147</v>
      </c>
      <c r="B76" t="s">
        <v>148</v>
      </c>
      <c r="C76" t="s">
        <v>24</v>
      </c>
      <c r="D76" t="s">
        <v>17</v>
      </c>
      <c r="E76">
        <v>0.125</v>
      </c>
      <c r="F76">
        <v>30</v>
      </c>
      <c r="G76">
        <v>3</v>
      </c>
      <c r="H76">
        <v>2023</v>
      </c>
      <c r="I76" t="s">
        <v>144</v>
      </c>
      <c r="J76" t="str">
        <f t="shared" si="2"/>
        <v>Preliminary</v>
      </c>
      <c r="K76">
        <f t="shared" si="3"/>
        <v>0</v>
      </c>
    </row>
    <row r="77" spans="1:11">
      <c r="A77" t="s">
        <v>64</v>
      </c>
      <c r="B77" t="s">
        <v>65</v>
      </c>
      <c r="C77" t="s">
        <v>12</v>
      </c>
      <c r="D77" t="s">
        <v>17</v>
      </c>
      <c r="E77">
        <v>0.125</v>
      </c>
      <c r="F77">
        <v>31</v>
      </c>
      <c r="G77">
        <v>1</v>
      </c>
      <c r="H77">
        <v>2023</v>
      </c>
      <c r="I77" t="s">
        <v>149</v>
      </c>
      <c r="J77" t="str">
        <f t="shared" si="2"/>
        <v>Preliminary</v>
      </c>
      <c r="K77">
        <f t="shared" si="3"/>
        <v>1</v>
      </c>
    </row>
    <row r="78" spans="1:11">
      <c r="A78" t="s">
        <v>150</v>
      </c>
      <c r="B78" t="s">
        <v>151</v>
      </c>
      <c r="C78" t="s">
        <v>12</v>
      </c>
      <c r="D78" t="s">
        <v>17</v>
      </c>
      <c r="E78">
        <v>0.125</v>
      </c>
      <c r="F78">
        <v>31</v>
      </c>
      <c r="G78">
        <v>2</v>
      </c>
      <c r="H78">
        <v>2023</v>
      </c>
      <c r="I78" t="s">
        <v>149</v>
      </c>
      <c r="J78" t="str">
        <f t="shared" si="2"/>
        <v>Preliminary</v>
      </c>
      <c r="K78">
        <f t="shared" si="3"/>
        <v>0</v>
      </c>
    </row>
    <row r="79" spans="1:11">
      <c r="A79" t="s">
        <v>152</v>
      </c>
      <c r="B79" t="s">
        <v>153</v>
      </c>
      <c r="C79" t="s">
        <v>24</v>
      </c>
      <c r="D79" t="s">
        <v>17</v>
      </c>
      <c r="E79">
        <v>0.125</v>
      </c>
      <c r="F79">
        <v>28</v>
      </c>
      <c r="G79">
        <v>3</v>
      </c>
      <c r="H79">
        <v>2023</v>
      </c>
      <c r="I79" t="s">
        <v>149</v>
      </c>
      <c r="J79" t="str">
        <f t="shared" si="2"/>
        <v>Preliminary</v>
      </c>
      <c r="K79">
        <f t="shared" si="3"/>
        <v>0</v>
      </c>
    </row>
    <row r="80" spans="1:11">
      <c r="A80" t="s">
        <v>62</v>
      </c>
      <c r="B80" t="s">
        <v>63</v>
      </c>
      <c r="C80" t="s">
        <v>20</v>
      </c>
      <c r="D80" t="s">
        <v>17</v>
      </c>
      <c r="E80">
        <v>0.125</v>
      </c>
      <c r="F80">
        <v>40</v>
      </c>
      <c r="G80">
        <v>1</v>
      </c>
      <c r="H80">
        <v>2023</v>
      </c>
      <c r="I80" t="s">
        <v>154</v>
      </c>
      <c r="J80" t="str">
        <f t="shared" si="2"/>
        <v>Preliminary</v>
      </c>
      <c r="K80">
        <f t="shared" si="3"/>
        <v>1</v>
      </c>
    </row>
    <row r="81" spans="1:11">
      <c r="A81" t="s">
        <v>155</v>
      </c>
      <c r="B81" t="s">
        <v>156</v>
      </c>
      <c r="C81" t="s">
        <v>20</v>
      </c>
      <c r="D81" t="s">
        <v>17</v>
      </c>
      <c r="E81">
        <v>0.125</v>
      </c>
      <c r="F81">
        <v>39</v>
      </c>
      <c r="G81">
        <v>2</v>
      </c>
      <c r="H81">
        <v>2023</v>
      </c>
      <c r="I81" t="s">
        <v>154</v>
      </c>
      <c r="J81" t="str">
        <f t="shared" si="2"/>
        <v>Preliminary</v>
      </c>
      <c r="K81">
        <f t="shared" si="3"/>
        <v>0</v>
      </c>
    </row>
    <row r="82" spans="1:11">
      <c r="A82" t="s">
        <v>157</v>
      </c>
      <c r="B82" t="s">
        <v>158</v>
      </c>
      <c r="C82" t="s">
        <v>80</v>
      </c>
      <c r="D82" t="s">
        <v>13</v>
      </c>
      <c r="E82">
        <v>0.125</v>
      </c>
      <c r="F82">
        <v>16</v>
      </c>
      <c r="G82">
        <v>3</v>
      </c>
      <c r="H82">
        <v>2023</v>
      </c>
      <c r="I82" t="s">
        <v>154</v>
      </c>
      <c r="J82" t="str">
        <f t="shared" si="2"/>
        <v>Preliminary</v>
      </c>
      <c r="K82">
        <f t="shared" si="3"/>
        <v>0</v>
      </c>
    </row>
    <row r="83" spans="1:11">
      <c r="A83" t="s">
        <v>32</v>
      </c>
      <c r="B83" t="s">
        <v>33</v>
      </c>
      <c r="C83" t="s">
        <v>20</v>
      </c>
      <c r="D83" t="s">
        <v>31</v>
      </c>
      <c r="E83">
        <v>0.125</v>
      </c>
      <c r="F83">
        <v>53</v>
      </c>
      <c r="G83">
        <v>1</v>
      </c>
      <c r="H83">
        <v>2023</v>
      </c>
      <c r="I83" t="s">
        <v>159</v>
      </c>
      <c r="J83" t="str">
        <f t="shared" si="2"/>
        <v>Preliminary</v>
      </c>
      <c r="K83">
        <f t="shared" si="3"/>
        <v>1</v>
      </c>
    </row>
    <row r="84" spans="1:11">
      <c r="A84" t="s">
        <v>160</v>
      </c>
      <c r="B84" t="s">
        <v>161</v>
      </c>
      <c r="C84" t="s">
        <v>24</v>
      </c>
      <c r="D84" t="s">
        <v>13</v>
      </c>
      <c r="E84">
        <v>0.125</v>
      </c>
      <c r="F84">
        <v>23</v>
      </c>
      <c r="G84">
        <v>2</v>
      </c>
      <c r="H84">
        <v>2023</v>
      </c>
      <c r="I84" t="s">
        <v>159</v>
      </c>
      <c r="J84" t="str">
        <f t="shared" si="2"/>
        <v>Preliminary</v>
      </c>
      <c r="K84">
        <f t="shared" si="3"/>
        <v>0</v>
      </c>
    </row>
    <row r="85" spans="1:11">
      <c r="A85" t="s">
        <v>162</v>
      </c>
      <c r="B85" t="s">
        <v>163</v>
      </c>
      <c r="C85" t="s">
        <v>39</v>
      </c>
      <c r="D85" t="s">
        <v>17</v>
      </c>
      <c r="E85">
        <v>0.125</v>
      </c>
      <c r="F85">
        <v>19</v>
      </c>
      <c r="G85">
        <v>3</v>
      </c>
      <c r="H85">
        <v>2023</v>
      </c>
      <c r="I85" t="s">
        <v>159</v>
      </c>
      <c r="J85" t="str">
        <f t="shared" si="2"/>
        <v>Preliminary</v>
      </c>
      <c r="K85">
        <f t="shared" si="3"/>
        <v>0</v>
      </c>
    </row>
    <row r="86" spans="1:11">
      <c r="A86" t="s">
        <v>57</v>
      </c>
      <c r="B86" t="s">
        <v>58</v>
      </c>
      <c r="C86" t="s">
        <v>20</v>
      </c>
      <c r="D86" t="s">
        <v>13</v>
      </c>
      <c r="E86">
        <v>0.125</v>
      </c>
      <c r="F86">
        <v>42</v>
      </c>
      <c r="G86">
        <v>1</v>
      </c>
      <c r="H86">
        <v>2023</v>
      </c>
      <c r="I86" t="s">
        <v>164</v>
      </c>
      <c r="J86" t="str">
        <f t="shared" si="2"/>
        <v>Preliminary</v>
      </c>
      <c r="K86">
        <f t="shared" si="3"/>
        <v>1</v>
      </c>
    </row>
    <row r="87" spans="1:11">
      <c r="A87" t="s">
        <v>165</v>
      </c>
      <c r="B87" t="s">
        <v>166</v>
      </c>
      <c r="C87" t="s">
        <v>24</v>
      </c>
      <c r="D87" t="s">
        <v>17</v>
      </c>
      <c r="E87">
        <v>0.125</v>
      </c>
      <c r="F87">
        <v>36</v>
      </c>
      <c r="G87">
        <v>2</v>
      </c>
      <c r="H87">
        <v>2023</v>
      </c>
      <c r="I87" t="s">
        <v>164</v>
      </c>
      <c r="J87" t="str">
        <f t="shared" si="2"/>
        <v>Preliminary</v>
      </c>
      <c r="K87">
        <f t="shared" si="3"/>
        <v>0</v>
      </c>
    </row>
    <row r="88" spans="1:11">
      <c r="A88" t="s">
        <v>167</v>
      </c>
      <c r="B88" t="s">
        <v>168</v>
      </c>
      <c r="C88" t="s">
        <v>24</v>
      </c>
      <c r="D88" t="s">
        <v>17</v>
      </c>
      <c r="E88">
        <v>0.125</v>
      </c>
      <c r="F88">
        <v>20</v>
      </c>
      <c r="G88">
        <v>3</v>
      </c>
      <c r="H88">
        <v>2023</v>
      </c>
      <c r="I88" t="s">
        <v>164</v>
      </c>
      <c r="J88" t="str">
        <f t="shared" si="2"/>
        <v>Preliminary</v>
      </c>
      <c r="K88">
        <f t="shared" si="3"/>
        <v>0</v>
      </c>
    </row>
    <row r="89" spans="1:11">
      <c r="A89" t="s">
        <v>59</v>
      </c>
      <c r="B89" t="s">
        <v>60</v>
      </c>
      <c r="C89" t="s">
        <v>50</v>
      </c>
      <c r="D89" t="s">
        <v>13</v>
      </c>
      <c r="E89">
        <v>0.125</v>
      </c>
      <c r="F89">
        <v>38</v>
      </c>
      <c r="G89">
        <v>1</v>
      </c>
      <c r="H89">
        <v>2023</v>
      </c>
      <c r="I89" t="s">
        <v>169</v>
      </c>
      <c r="J89" t="str">
        <f t="shared" si="2"/>
        <v>Preliminary</v>
      </c>
      <c r="K89">
        <f t="shared" si="3"/>
        <v>1</v>
      </c>
    </row>
    <row r="90" spans="1:11">
      <c r="A90" t="s">
        <v>170</v>
      </c>
      <c r="B90" t="s">
        <v>171</v>
      </c>
      <c r="C90" t="s">
        <v>50</v>
      </c>
      <c r="D90" t="s">
        <v>13</v>
      </c>
      <c r="E90">
        <v>0.125</v>
      </c>
      <c r="F90">
        <v>36</v>
      </c>
      <c r="G90">
        <v>2</v>
      </c>
      <c r="H90">
        <v>2023</v>
      </c>
      <c r="I90" t="s">
        <v>169</v>
      </c>
      <c r="J90" t="str">
        <f t="shared" si="2"/>
        <v>Preliminary</v>
      </c>
      <c r="K90">
        <f t="shared" si="3"/>
        <v>0</v>
      </c>
    </row>
    <row r="91" spans="1:11">
      <c r="A91" t="s">
        <v>172</v>
      </c>
      <c r="B91" t="s">
        <v>173</v>
      </c>
      <c r="C91" t="s">
        <v>39</v>
      </c>
      <c r="D91" t="s">
        <v>17</v>
      </c>
      <c r="E91">
        <v>0.125</v>
      </c>
      <c r="F91">
        <v>27</v>
      </c>
      <c r="G91">
        <v>3</v>
      </c>
      <c r="H91">
        <v>2023</v>
      </c>
      <c r="I91" t="s">
        <v>169</v>
      </c>
      <c r="J91" t="str">
        <f t="shared" si="2"/>
        <v>Preliminary</v>
      </c>
      <c r="K91">
        <f t="shared" si="3"/>
        <v>0</v>
      </c>
    </row>
    <row r="92" spans="1:11">
      <c r="A92" t="s">
        <v>72</v>
      </c>
      <c r="B92" t="s">
        <v>73</v>
      </c>
      <c r="C92" t="s">
        <v>74</v>
      </c>
      <c r="D92" t="s">
        <v>13</v>
      </c>
      <c r="E92">
        <v>0.125</v>
      </c>
      <c r="F92">
        <v>44</v>
      </c>
      <c r="G92">
        <v>1</v>
      </c>
      <c r="H92">
        <v>2023</v>
      </c>
      <c r="I92" t="s">
        <v>174</v>
      </c>
      <c r="J92" t="str">
        <f t="shared" si="2"/>
        <v>Preliminary</v>
      </c>
      <c r="K92">
        <f t="shared" si="3"/>
        <v>1</v>
      </c>
    </row>
    <row r="93" spans="1:11">
      <c r="A93" t="s">
        <v>175</v>
      </c>
      <c r="B93" t="s">
        <v>176</v>
      </c>
      <c r="C93" t="s">
        <v>177</v>
      </c>
      <c r="D93" t="s">
        <v>31</v>
      </c>
      <c r="E93">
        <v>0.125</v>
      </c>
      <c r="F93">
        <v>44</v>
      </c>
      <c r="G93">
        <v>2</v>
      </c>
      <c r="H93">
        <v>2023</v>
      </c>
      <c r="I93" t="s">
        <v>174</v>
      </c>
      <c r="J93" t="str">
        <f t="shared" si="2"/>
        <v>Preliminary</v>
      </c>
      <c r="K93">
        <f t="shared" si="3"/>
        <v>0</v>
      </c>
    </row>
    <row r="94" spans="1:11">
      <c r="A94" t="s">
        <v>178</v>
      </c>
      <c r="B94" t="s">
        <v>179</v>
      </c>
      <c r="C94" t="s">
        <v>12</v>
      </c>
      <c r="D94" t="s">
        <v>13</v>
      </c>
      <c r="E94">
        <v>0.125</v>
      </c>
      <c r="F94">
        <v>31</v>
      </c>
      <c r="G94">
        <v>3</v>
      </c>
      <c r="H94">
        <v>2023</v>
      </c>
      <c r="I94" t="s">
        <v>174</v>
      </c>
      <c r="J94" t="str">
        <f t="shared" si="2"/>
        <v>Preliminary</v>
      </c>
      <c r="K94">
        <f t="shared" si="3"/>
        <v>0</v>
      </c>
    </row>
    <row r="95" spans="1:11">
      <c r="A95" t="s">
        <v>75</v>
      </c>
      <c r="B95" t="s">
        <v>76</v>
      </c>
      <c r="C95" t="s">
        <v>39</v>
      </c>
      <c r="D95" t="s">
        <v>17</v>
      </c>
      <c r="E95">
        <v>0.125</v>
      </c>
      <c r="F95">
        <v>47</v>
      </c>
      <c r="G95">
        <v>1</v>
      </c>
      <c r="H95">
        <v>2023</v>
      </c>
      <c r="I95" t="s">
        <v>180</v>
      </c>
      <c r="J95" t="str">
        <f t="shared" si="2"/>
        <v>Preliminary</v>
      </c>
      <c r="K95">
        <f t="shared" si="3"/>
        <v>1</v>
      </c>
    </row>
    <row r="96" spans="1:11">
      <c r="A96" t="s">
        <v>181</v>
      </c>
      <c r="B96" t="s">
        <v>182</v>
      </c>
      <c r="C96" t="s">
        <v>20</v>
      </c>
      <c r="D96" t="s">
        <v>17</v>
      </c>
      <c r="E96">
        <v>0.125</v>
      </c>
      <c r="F96">
        <v>33</v>
      </c>
      <c r="G96">
        <v>2</v>
      </c>
      <c r="H96">
        <v>2023</v>
      </c>
      <c r="I96" t="s">
        <v>180</v>
      </c>
      <c r="J96" t="str">
        <f t="shared" si="2"/>
        <v>Preliminary</v>
      </c>
      <c r="K96">
        <f t="shared" si="3"/>
        <v>0</v>
      </c>
    </row>
    <row r="97" spans="1:11">
      <c r="A97" t="s">
        <v>183</v>
      </c>
      <c r="B97" t="s">
        <v>184</v>
      </c>
      <c r="C97" t="s">
        <v>20</v>
      </c>
      <c r="D97" t="s">
        <v>17</v>
      </c>
      <c r="E97">
        <v>0.125</v>
      </c>
      <c r="F97">
        <v>32</v>
      </c>
      <c r="G97">
        <v>3</v>
      </c>
      <c r="H97">
        <v>2023</v>
      </c>
      <c r="I97" t="s">
        <v>180</v>
      </c>
      <c r="J97" t="str">
        <f t="shared" si="2"/>
        <v>Preliminary</v>
      </c>
      <c r="K97">
        <f t="shared" si="3"/>
        <v>0</v>
      </c>
    </row>
    <row r="98" spans="1:11">
      <c r="A98" t="s">
        <v>43</v>
      </c>
      <c r="B98" t="s">
        <v>44</v>
      </c>
      <c r="C98" t="s">
        <v>39</v>
      </c>
      <c r="D98" t="s">
        <v>17</v>
      </c>
      <c r="E98">
        <v>0.125</v>
      </c>
      <c r="F98">
        <v>45</v>
      </c>
      <c r="G98">
        <v>1</v>
      </c>
      <c r="H98">
        <v>2023</v>
      </c>
      <c r="I98" t="s">
        <v>185</v>
      </c>
      <c r="J98" t="str">
        <f t="shared" si="2"/>
        <v>Preliminary</v>
      </c>
      <c r="K98">
        <f t="shared" si="3"/>
        <v>1</v>
      </c>
    </row>
    <row r="99" spans="1:11">
      <c r="A99" t="s">
        <v>186</v>
      </c>
      <c r="B99" t="s">
        <v>187</v>
      </c>
      <c r="C99" t="s">
        <v>12</v>
      </c>
      <c r="D99" t="s">
        <v>17</v>
      </c>
      <c r="E99">
        <v>0.125</v>
      </c>
      <c r="F99">
        <v>42</v>
      </c>
      <c r="G99">
        <v>2</v>
      </c>
      <c r="H99">
        <v>2023</v>
      </c>
      <c r="I99" t="s">
        <v>185</v>
      </c>
      <c r="J99" t="str">
        <f t="shared" si="2"/>
        <v>Preliminary</v>
      </c>
      <c r="K99">
        <f t="shared" si="3"/>
        <v>0</v>
      </c>
    </row>
    <row r="100" spans="1:11">
      <c r="A100" t="s">
        <v>188</v>
      </c>
      <c r="B100" t="s">
        <v>189</v>
      </c>
      <c r="C100" t="s">
        <v>20</v>
      </c>
      <c r="D100" t="s">
        <v>17</v>
      </c>
      <c r="E100">
        <v>0.125</v>
      </c>
      <c r="F100">
        <v>19</v>
      </c>
      <c r="G100">
        <v>3</v>
      </c>
      <c r="H100">
        <v>2023</v>
      </c>
      <c r="I100" t="s">
        <v>185</v>
      </c>
      <c r="J100" t="str">
        <f t="shared" si="2"/>
        <v>Preliminary</v>
      </c>
      <c r="K100">
        <f t="shared" si="3"/>
        <v>0</v>
      </c>
    </row>
    <row r="101" spans="1:11">
      <c r="A101" t="s">
        <v>35</v>
      </c>
      <c r="B101" t="s">
        <v>36</v>
      </c>
      <c r="C101" t="s">
        <v>20</v>
      </c>
      <c r="D101" t="s">
        <v>13</v>
      </c>
      <c r="E101">
        <v>0.125</v>
      </c>
      <c r="F101">
        <v>52</v>
      </c>
      <c r="G101">
        <v>1</v>
      </c>
      <c r="H101">
        <v>2023</v>
      </c>
      <c r="I101" t="s">
        <v>190</v>
      </c>
      <c r="J101" t="str">
        <f t="shared" si="2"/>
        <v>Preliminary</v>
      </c>
      <c r="K101">
        <f t="shared" si="3"/>
        <v>1</v>
      </c>
    </row>
    <row r="102" spans="1:11">
      <c r="A102" t="s">
        <v>191</v>
      </c>
      <c r="B102" t="s">
        <v>192</v>
      </c>
      <c r="C102" t="s">
        <v>20</v>
      </c>
      <c r="D102" t="s">
        <v>17</v>
      </c>
      <c r="E102">
        <v>0.125</v>
      </c>
      <c r="F102">
        <v>34</v>
      </c>
      <c r="G102">
        <v>2</v>
      </c>
      <c r="H102">
        <v>2023</v>
      </c>
      <c r="I102" t="s">
        <v>190</v>
      </c>
      <c r="J102" t="str">
        <f t="shared" si="2"/>
        <v>Preliminary</v>
      </c>
      <c r="K102">
        <f t="shared" si="3"/>
        <v>0</v>
      </c>
    </row>
    <row r="103" spans="1:11">
      <c r="A103" t="s">
        <v>193</v>
      </c>
      <c r="B103" t="s">
        <v>194</v>
      </c>
      <c r="C103" t="s">
        <v>195</v>
      </c>
      <c r="D103" t="s">
        <v>17</v>
      </c>
      <c r="E103">
        <v>0.125</v>
      </c>
      <c r="F103">
        <v>28</v>
      </c>
      <c r="G103">
        <v>3</v>
      </c>
      <c r="H103">
        <v>2023</v>
      </c>
      <c r="I103" t="s">
        <v>190</v>
      </c>
      <c r="J103" t="str">
        <f t="shared" si="2"/>
        <v>Preliminary</v>
      </c>
      <c r="K103">
        <f t="shared" si="3"/>
        <v>0</v>
      </c>
    </row>
    <row r="104" spans="1:11">
      <c r="A104" t="s">
        <v>81</v>
      </c>
      <c r="B104" t="s">
        <v>82</v>
      </c>
      <c r="C104" t="s">
        <v>24</v>
      </c>
      <c r="D104" t="s">
        <v>13</v>
      </c>
      <c r="E104">
        <v>0.125</v>
      </c>
      <c r="F104">
        <v>56</v>
      </c>
      <c r="G104">
        <v>1</v>
      </c>
      <c r="H104">
        <v>2023</v>
      </c>
      <c r="I104" t="s">
        <v>196</v>
      </c>
      <c r="J104" t="str">
        <f t="shared" si="2"/>
        <v>Preliminary</v>
      </c>
      <c r="K104">
        <f t="shared" si="3"/>
        <v>1</v>
      </c>
    </row>
    <row r="105" spans="1:11">
      <c r="A105" t="s">
        <v>197</v>
      </c>
      <c r="B105" t="s">
        <v>198</v>
      </c>
      <c r="C105" t="s">
        <v>39</v>
      </c>
      <c r="D105" t="s">
        <v>13</v>
      </c>
      <c r="E105">
        <v>0.125</v>
      </c>
      <c r="F105">
        <v>43</v>
      </c>
      <c r="G105">
        <v>2</v>
      </c>
      <c r="H105">
        <v>2023</v>
      </c>
      <c r="I105" t="s">
        <v>196</v>
      </c>
      <c r="J105" t="str">
        <f t="shared" si="2"/>
        <v>Preliminary</v>
      </c>
      <c r="K105">
        <f t="shared" si="3"/>
        <v>0</v>
      </c>
    </row>
    <row r="106" spans="1:11">
      <c r="A106" t="s">
        <v>199</v>
      </c>
      <c r="B106" t="s">
        <v>200</v>
      </c>
      <c r="C106" t="s">
        <v>39</v>
      </c>
      <c r="D106" t="s">
        <v>31</v>
      </c>
      <c r="E106">
        <v>0.125</v>
      </c>
      <c r="F106">
        <v>34</v>
      </c>
      <c r="G106">
        <v>3</v>
      </c>
      <c r="H106">
        <v>2023</v>
      </c>
      <c r="I106" t="s">
        <v>196</v>
      </c>
      <c r="J106" t="str">
        <f t="shared" si="2"/>
        <v>Preliminary</v>
      </c>
      <c r="K106">
        <f t="shared" si="3"/>
        <v>0</v>
      </c>
    </row>
    <row r="107" spans="1:11">
      <c r="A107" t="s">
        <v>25</v>
      </c>
      <c r="B107" t="s">
        <v>26</v>
      </c>
      <c r="C107" t="s">
        <v>27</v>
      </c>
      <c r="D107" t="s">
        <v>17</v>
      </c>
      <c r="E107">
        <v>0.125</v>
      </c>
      <c r="F107">
        <v>70</v>
      </c>
      <c r="G107">
        <v>1</v>
      </c>
      <c r="H107">
        <v>2023</v>
      </c>
      <c r="I107" t="s">
        <v>201</v>
      </c>
      <c r="J107" t="str">
        <f t="shared" si="2"/>
        <v>Preliminary</v>
      </c>
      <c r="K107">
        <f t="shared" si="3"/>
        <v>1</v>
      </c>
    </row>
    <row r="108" spans="1:11">
      <c r="A108" t="s">
        <v>202</v>
      </c>
      <c r="B108" t="s">
        <v>203</v>
      </c>
      <c r="C108" t="s">
        <v>39</v>
      </c>
      <c r="D108" t="s">
        <v>13</v>
      </c>
      <c r="E108">
        <v>0.125</v>
      </c>
      <c r="F108">
        <v>33</v>
      </c>
      <c r="G108">
        <v>2</v>
      </c>
      <c r="H108">
        <v>2023</v>
      </c>
      <c r="I108" t="s">
        <v>201</v>
      </c>
      <c r="J108" t="str">
        <f t="shared" si="2"/>
        <v>Preliminary</v>
      </c>
      <c r="K108">
        <f t="shared" si="3"/>
        <v>0</v>
      </c>
    </row>
    <row r="109" spans="1:11">
      <c r="A109" t="s">
        <v>204</v>
      </c>
      <c r="B109" t="s">
        <v>205</v>
      </c>
      <c r="C109" t="s">
        <v>12</v>
      </c>
      <c r="D109" t="s">
        <v>17</v>
      </c>
      <c r="E109">
        <v>0.125</v>
      </c>
      <c r="F109">
        <v>26</v>
      </c>
      <c r="G109">
        <v>3</v>
      </c>
      <c r="H109">
        <v>2023</v>
      </c>
      <c r="I109" t="s">
        <v>201</v>
      </c>
      <c r="J109" t="str">
        <f t="shared" si="2"/>
        <v>Preliminary</v>
      </c>
      <c r="K109">
        <f t="shared" si="3"/>
        <v>0</v>
      </c>
    </row>
    <row r="110" spans="1:11">
      <c r="A110" t="s">
        <v>84</v>
      </c>
      <c r="B110" t="s">
        <v>85</v>
      </c>
      <c r="C110" t="s">
        <v>39</v>
      </c>
      <c r="D110" t="s">
        <v>17</v>
      </c>
      <c r="E110">
        <v>0.125</v>
      </c>
      <c r="F110">
        <v>41</v>
      </c>
      <c r="G110">
        <v>1</v>
      </c>
      <c r="H110">
        <v>2023</v>
      </c>
      <c r="I110" t="s">
        <v>206</v>
      </c>
      <c r="J110" t="str">
        <f t="shared" si="2"/>
        <v>Preliminary</v>
      </c>
      <c r="K110">
        <f t="shared" si="3"/>
        <v>1</v>
      </c>
    </row>
    <row r="111" spans="1:11">
      <c r="A111" t="s">
        <v>207</v>
      </c>
      <c r="B111" t="s">
        <v>208</v>
      </c>
      <c r="C111" t="s">
        <v>20</v>
      </c>
      <c r="D111" t="s">
        <v>13</v>
      </c>
      <c r="E111">
        <v>0.125</v>
      </c>
      <c r="F111">
        <v>37</v>
      </c>
      <c r="G111">
        <v>2</v>
      </c>
      <c r="H111">
        <v>2023</v>
      </c>
      <c r="I111" t="s">
        <v>206</v>
      </c>
      <c r="J111" t="str">
        <f t="shared" si="2"/>
        <v>Preliminary</v>
      </c>
      <c r="K111">
        <f t="shared" si="3"/>
        <v>0</v>
      </c>
    </row>
    <row r="112" spans="1:11">
      <c r="A112" t="s">
        <v>209</v>
      </c>
      <c r="B112" t="s">
        <v>210</v>
      </c>
      <c r="C112" t="s">
        <v>50</v>
      </c>
      <c r="D112" t="s">
        <v>17</v>
      </c>
      <c r="E112">
        <v>0.125</v>
      </c>
      <c r="F112">
        <v>17</v>
      </c>
      <c r="G112">
        <v>3</v>
      </c>
      <c r="H112">
        <v>2023</v>
      </c>
      <c r="I112" t="s">
        <v>206</v>
      </c>
      <c r="J112" t="str">
        <f t="shared" si="2"/>
        <v>Preliminary</v>
      </c>
      <c r="K112">
        <f t="shared" si="3"/>
        <v>0</v>
      </c>
    </row>
    <row r="113" spans="1:11">
      <c r="A113" t="s">
        <v>22</v>
      </c>
      <c r="B113" t="s">
        <v>23</v>
      </c>
      <c r="C113" t="s">
        <v>24</v>
      </c>
      <c r="D113" t="s">
        <v>13</v>
      </c>
      <c r="E113">
        <v>0.125</v>
      </c>
      <c r="F113">
        <v>55</v>
      </c>
      <c r="G113">
        <v>1</v>
      </c>
      <c r="H113">
        <v>2023</v>
      </c>
      <c r="I113" t="s">
        <v>211</v>
      </c>
      <c r="J113" t="str">
        <f t="shared" si="2"/>
        <v>Preliminary</v>
      </c>
      <c r="K113">
        <f t="shared" si="3"/>
        <v>1</v>
      </c>
    </row>
    <row r="114" spans="1:11">
      <c r="A114" t="s">
        <v>212</v>
      </c>
      <c r="B114" t="s">
        <v>213</v>
      </c>
      <c r="C114" t="s">
        <v>20</v>
      </c>
      <c r="D114" t="s">
        <v>17</v>
      </c>
      <c r="E114">
        <v>0.125</v>
      </c>
      <c r="F114">
        <v>45</v>
      </c>
      <c r="G114">
        <v>2</v>
      </c>
      <c r="H114">
        <v>2023</v>
      </c>
      <c r="I114" t="s">
        <v>211</v>
      </c>
      <c r="J114" t="str">
        <f t="shared" si="2"/>
        <v>Preliminary</v>
      </c>
      <c r="K114">
        <f t="shared" si="3"/>
        <v>0</v>
      </c>
    </row>
    <row r="115" spans="1:11">
      <c r="A115" t="s">
        <v>214</v>
      </c>
      <c r="B115" t="s">
        <v>215</v>
      </c>
      <c r="C115" t="s">
        <v>39</v>
      </c>
      <c r="D115" t="s">
        <v>31</v>
      </c>
      <c r="E115">
        <v>0.125</v>
      </c>
      <c r="F115">
        <v>13</v>
      </c>
      <c r="G115">
        <v>3</v>
      </c>
      <c r="H115">
        <v>2023</v>
      </c>
      <c r="I115" t="s">
        <v>211</v>
      </c>
      <c r="J115" t="str">
        <f t="shared" si="2"/>
        <v>Preliminary</v>
      </c>
      <c r="K115">
        <f t="shared" si="3"/>
        <v>0</v>
      </c>
    </row>
    <row r="116" spans="1:11">
      <c r="A116" t="s">
        <v>46</v>
      </c>
      <c r="B116" t="s">
        <v>47</v>
      </c>
      <c r="C116" t="s">
        <v>12</v>
      </c>
      <c r="D116" t="s">
        <v>13</v>
      </c>
      <c r="E116">
        <v>0.125</v>
      </c>
      <c r="F116">
        <v>46</v>
      </c>
      <c r="G116">
        <v>1</v>
      </c>
      <c r="H116">
        <v>2023</v>
      </c>
      <c r="I116" t="s">
        <v>216</v>
      </c>
      <c r="J116" t="str">
        <f t="shared" si="2"/>
        <v>Preliminary</v>
      </c>
      <c r="K116">
        <f t="shared" si="3"/>
        <v>1</v>
      </c>
    </row>
    <row r="117" spans="1:11">
      <c r="A117" t="s">
        <v>217</v>
      </c>
      <c r="B117" t="s">
        <v>218</v>
      </c>
      <c r="C117" t="s">
        <v>177</v>
      </c>
      <c r="D117" t="s">
        <v>17</v>
      </c>
      <c r="E117">
        <v>0.125</v>
      </c>
      <c r="F117">
        <v>36</v>
      </c>
      <c r="G117">
        <v>2</v>
      </c>
      <c r="H117">
        <v>2023</v>
      </c>
      <c r="I117" t="s">
        <v>216</v>
      </c>
      <c r="J117" t="str">
        <f t="shared" si="2"/>
        <v>Preliminary</v>
      </c>
      <c r="K117">
        <f t="shared" si="3"/>
        <v>0</v>
      </c>
    </row>
    <row r="118" spans="1:11">
      <c r="A118" t="s">
        <v>219</v>
      </c>
      <c r="B118" t="s">
        <v>220</v>
      </c>
      <c r="C118" t="s">
        <v>27</v>
      </c>
      <c r="D118" t="s">
        <v>17</v>
      </c>
      <c r="E118">
        <v>0.125</v>
      </c>
      <c r="F118">
        <v>29</v>
      </c>
      <c r="G118">
        <v>3</v>
      </c>
      <c r="H118">
        <v>2023</v>
      </c>
      <c r="I118" t="s">
        <v>216</v>
      </c>
      <c r="J118" t="str">
        <f t="shared" si="2"/>
        <v>Preliminary</v>
      </c>
      <c r="K118">
        <f t="shared" si="3"/>
        <v>0</v>
      </c>
    </row>
    <row r="119" spans="1:11">
      <c r="A119" t="s">
        <v>10</v>
      </c>
      <c r="B119" t="s">
        <v>11</v>
      </c>
      <c r="C119" t="s">
        <v>12</v>
      </c>
      <c r="D119" t="s">
        <v>13</v>
      </c>
      <c r="E119">
        <v>0.125</v>
      </c>
      <c r="F119">
        <v>60</v>
      </c>
      <c r="G119">
        <v>1</v>
      </c>
      <c r="H119">
        <v>2023</v>
      </c>
      <c r="I119" t="s">
        <v>221</v>
      </c>
      <c r="J119" t="str">
        <f t="shared" si="2"/>
        <v>Preliminary</v>
      </c>
      <c r="K119">
        <f t="shared" si="3"/>
        <v>1</v>
      </c>
    </row>
    <row r="120" spans="1:11">
      <c r="A120" t="s">
        <v>222</v>
      </c>
      <c r="B120" t="s">
        <v>223</v>
      </c>
      <c r="C120" t="s">
        <v>20</v>
      </c>
      <c r="D120" t="s">
        <v>17</v>
      </c>
      <c r="E120">
        <v>0.125</v>
      </c>
      <c r="F120">
        <v>41</v>
      </c>
      <c r="G120">
        <v>2</v>
      </c>
      <c r="H120">
        <v>2023</v>
      </c>
      <c r="I120" t="s">
        <v>221</v>
      </c>
      <c r="J120" t="str">
        <f t="shared" si="2"/>
        <v>Preliminary</v>
      </c>
      <c r="K120">
        <f t="shared" si="3"/>
        <v>0</v>
      </c>
    </row>
    <row r="121" spans="1:11">
      <c r="A121" t="s">
        <v>224</v>
      </c>
      <c r="B121" t="s">
        <v>225</v>
      </c>
      <c r="C121" t="s">
        <v>20</v>
      </c>
      <c r="D121" t="s">
        <v>31</v>
      </c>
      <c r="E121">
        <v>0.125</v>
      </c>
      <c r="F121">
        <v>6</v>
      </c>
      <c r="G121">
        <v>3</v>
      </c>
      <c r="H121">
        <v>2023</v>
      </c>
      <c r="I121" t="s">
        <v>221</v>
      </c>
      <c r="J121" t="str">
        <f t="shared" si="2"/>
        <v>Preliminary</v>
      </c>
      <c r="K121">
        <f t="shared" si="3"/>
        <v>0</v>
      </c>
    </row>
    <row r="122" spans="1:11">
      <c r="A122" t="s">
        <v>10</v>
      </c>
      <c r="B122" t="s">
        <v>11</v>
      </c>
      <c r="C122" t="s">
        <v>12</v>
      </c>
      <c r="D122" t="s">
        <v>13</v>
      </c>
      <c r="E122">
        <v>1</v>
      </c>
      <c r="F122">
        <v>50</v>
      </c>
      <c r="G122">
        <v>1</v>
      </c>
      <c r="H122">
        <v>2022</v>
      </c>
      <c r="I122" t="s">
        <v>226</v>
      </c>
      <c r="J122" t="str">
        <f t="shared" si="2"/>
        <v>Final</v>
      </c>
      <c r="K122">
        <f t="shared" si="3"/>
        <v>1</v>
      </c>
    </row>
    <row r="123" spans="1:11">
      <c r="A123" t="s">
        <v>35</v>
      </c>
      <c r="B123" t="s">
        <v>36</v>
      </c>
      <c r="C123" t="s">
        <v>20</v>
      </c>
      <c r="D123" t="s">
        <v>13</v>
      </c>
      <c r="E123">
        <v>1</v>
      </c>
      <c r="F123">
        <v>41</v>
      </c>
      <c r="G123">
        <v>2</v>
      </c>
      <c r="H123">
        <v>2022</v>
      </c>
      <c r="I123" t="s">
        <v>226</v>
      </c>
      <c r="J123" t="str">
        <f t="shared" si="2"/>
        <v>Final</v>
      </c>
      <c r="K123">
        <f t="shared" si="3"/>
        <v>0</v>
      </c>
    </row>
    <row r="124" spans="1:11">
      <c r="A124" t="s">
        <v>160</v>
      </c>
      <c r="B124" t="s">
        <v>161</v>
      </c>
      <c r="C124" t="s">
        <v>24</v>
      </c>
      <c r="D124" t="s">
        <v>13</v>
      </c>
      <c r="E124">
        <v>1</v>
      </c>
      <c r="F124">
        <v>32</v>
      </c>
      <c r="G124">
        <v>3</v>
      </c>
      <c r="H124">
        <v>2022</v>
      </c>
      <c r="I124" t="s">
        <v>226</v>
      </c>
      <c r="J124" t="str">
        <f t="shared" si="2"/>
        <v>Final</v>
      </c>
      <c r="K124">
        <f t="shared" si="3"/>
        <v>0</v>
      </c>
    </row>
    <row r="125" spans="1:11">
      <c r="A125" t="s">
        <v>35</v>
      </c>
      <c r="B125" t="s">
        <v>36</v>
      </c>
      <c r="C125" t="s">
        <v>20</v>
      </c>
      <c r="D125" t="s">
        <v>13</v>
      </c>
      <c r="E125">
        <v>0.5</v>
      </c>
      <c r="F125">
        <v>49</v>
      </c>
      <c r="G125">
        <v>1</v>
      </c>
      <c r="H125">
        <v>2022</v>
      </c>
      <c r="I125" t="s">
        <v>227</v>
      </c>
      <c r="J125" t="str">
        <f t="shared" si="2"/>
        <v>Semifinal</v>
      </c>
      <c r="K125">
        <f t="shared" si="3"/>
        <v>1</v>
      </c>
    </row>
    <row r="126" spans="1:11">
      <c r="A126" t="s">
        <v>43</v>
      </c>
      <c r="B126" t="s">
        <v>44</v>
      </c>
      <c r="C126" t="s">
        <v>39</v>
      </c>
      <c r="D126" t="s">
        <v>17</v>
      </c>
      <c r="E126">
        <v>0.5</v>
      </c>
      <c r="F126">
        <v>43</v>
      </c>
      <c r="G126">
        <v>2</v>
      </c>
      <c r="H126">
        <v>2022</v>
      </c>
      <c r="I126" t="s">
        <v>227</v>
      </c>
      <c r="J126" t="str">
        <f t="shared" si="2"/>
        <v>Semifinal</v>
      </c>
      <c r="K126">
        <f t="shared" si="3"/>
        <v>0</v>
      </c>
    </row>
    <row r="127" spans="1:11">
      <c r="A127" t="s">
        <v>22</v>
      </c>
      <c r="B127" t="s">
        <v>23</v>
      </c>
      <c r="C127" t="s">
        <v>24</v>
      </c>
      <c r="D127" t="s">
        <v>13</v>
      </c>
      <c r="E127">
        <v>0.5</v>
      </c>
      <c r="F127">
        <v>41</v>
      </c>
      <c r="G127">
        <v>3</v>
      </c>
      <c r="H127">
        <v>2022</v>
      </c>
      <c r="I127" t="s">
        <v>227</v>
      </c>
      <c r="J127" t="str">
        <f t="shared" si="2"/>
        <v>Semifinal</v>
      </c>
      <c r="K127">
        <f t="shared" si="3"/>
        <v>0</v>
      </c>
    </row>
    <row r="128" spans="1:11">
      <c r="A128" t="s">
        <v>10</v>
      </c>
      <c r="B128" t="s">
        <v>11</v>
      </c>
      <c r="C128" t="s">
        <v>12</v>
      </c>
      <c r="D128" t="s">
        <v>13</v>
      </c>
      <c r="E128">
        <v>0.5</v>
      </c>
      <c r="F128">
        <v>51</v>
      </c>
      <c r="G128">
        <v>1</v>
      </c>
      <c r="H128">
        <v>2022</v>
      </c>
      <c r="I128" t="s">
        <v>228</v>
      </c>
      <c r="J128" t="str">
        <f t="shared" si="2"/>
        <v>Semifinal</v>
      </c>
      <c r="K128">
        <f t="shared" si="3"/>
        <v>1</v>
      </c>
    </row>
    <row r="129" spans="1:11">
      <c r="A129" t="s">
        <v>72</v>
      </c>
      <c r="B129" t="s">
        <v>73</v>
      </c>
      <c r="C129" t="s">
        <v>74</v>
      </c>
      <c r="D129" t="s">
        <v>13</v>
      </c>
      <c r="E129">
        <v>0.5</v>
      </c>
      <c r="F129">
        <v>35</v>
      </c>
      <c r="G129">
        <v>2</v>
      </c>
      <c r="H129">
        <v>2022</v>
      </c>
      <c r="I129" t="s">
        <v>228</v>
      </c>
      <c r="J129" t="str">
        <f t="shared" si="2"/>
        <v>Semifinal</v>
      </c>
      <c r="K129">
        <f t="shared" si="3"/>
        <v>0</v>
      </c>
    </row>
    <row r="130" spans="1:11">
      <c r="A130" t="s">
        <v>52</v>
      </c>
      <c r="B130" t="s">
        <v>53</v>
      </c>
      <c r="C130" t="s">
        <v>20</v>
      </c>
      <c r="D130" t="s">
        <v>13</v>
      </c>
      <c r="E130">
        <v>0.5</v>
      </c>
      <c r="F130">
        <v>8</v>
      </c>
      <c r="G130">
        <v>3</v>
      </c>
      <c r="H130">
        <v>2022</v>
      </c>
      <c r="I130" t="s">
        <v>228</v>
      </c>
      <c r="J130" t="str">
        <f t="shared" si="2"/>
        <v>Semifinal</v>
      </c>
      <c r="K130">
        <f t="shared" si="3"/>
        <v>0</v>
      </c>
    </row>
    <row r="131" spans="1:11">
      <c r="A131" t="s">
        <v>160</v>
      </c>
      <c r="B131" t="s">
        <v>161</v>
      </c>
      <c r="C131" t="s">
        <v>24</v>
      </c>
      <c r="D131" t="s">
        <v>13</v>
      </c>
      <c r="E131">
        <v>0.5</v>
      </c>
      <c r="F131">
        <v>45</v>
      </c>
      <c r="G131">
        <v>1</v>
      </c>
      <c r="H131">
        <v>2022</v>
      </c>
      <c r="I131" t="s">
        <v>229</v>
      </c>
      <c r="J131" t="str">
        <f t="shared" ref="J131:J194" si="4">IF(E131=1,"Final",IF(E131=0.5,"Semifinal",IF(E131=0.25,"Quarterfinal",IF(E131=0.125,"Preliminary","Unknown"))))</f>
        <v>Semifinal</v>
      </c>
      <c r="K131">
        <f t="shared" ref="K131:K194" si="5">IF(G131=1,1,0)</f>
        <v>1</v>
      </c>
    </row>
    <row r="132" spans="1:11">
      <c r="A132" t="s">
        <v>18</v>
      </c>
      <c r="B132" t="s">
        <v>19</v>
      </c>
      <c r="C132" t="s">
        <v>20</v>
      </c>
      <c r="D132" t="s">
        <v>13</v>
      </c>
      <c r="E132">
        <v>0.5</v>
      </c>
      <c r="F132">
        <v>33</v>
      </c>
      <c r="G132">
        <v>2</v>
      </c>
      <c r="H132">
        <v>2022</v>
      </c>
      <c r="I132" t="s">
        <v>229</v>
      </c>
      <c r="J132" t="str">
        <f t="shared" si="4"/>
        <v>Semifinal</v>
      </c>
      <c r="K132">
        <f t="shared" si="5"/>
        <v>0</v>
      </c>
    </row>
    <row r="133" spans="1:11">
      <c r="A133" t="s">
        <v>81</v>
      </c>
      <c r="B133" t="s">
        <v>82</v>
      </c>
      <c r="C133" t="s">
        <v>24</v>
      </c>
      <c r="D133" t="s">
        <v>13</v>
      </c>
      <c r="E133">
        <v>0.5</v>
      </c>
      <c r="F133">
        <v>22</v>
      </c>
      <c r="G133">
        <v>3</v>
      </c>
      <c r="H133">
        <v>2022</v>
      </c>
      <c r="I133" t="s">
        <v>229</v>
      </c>
      <c r="J133" t="str">
        <f t="shared" si="4"/>
        <v>Semifinal</v>
      </c>
      <c r="K133">
        <f t="shared" si="5"/>
        <v>0</v>
      </c>
    </row>
    <row r="134" spans="1:11">
      <c r="A134" t="s">
        <v>81</v>
      </c>
      <c r="B134" t="s">
        <v>82</v>
      </c>
      <c r="C134" t="s">
        <v>24</v>
      </c>
      <c r="D134" t="s">
        <v>13</v>
      </c>
      <c r="E134">
        <v>0.25</v>
      </c>
      <c r="F134">
        <v>67</v>
      </c>
      <c r="G134">
        <v>1</v>
      </c>
      <c r="H134">
        <v>2022</v>
      </c>
      <c r="I134" t="s">
        <v>230</v>
      </c>
      <c r="J134" t="str">
        <f t="shared" si="4"/>
        <v>Quarterfinal</v>
      </c>
      <c r="K134">
        <f t="shared" si="5"/>
        <v>1</v>
      </c>
    </row>
    <row r="135" spans="1:11">
      <c r="A135" t="s">
        <v>57</v>
      </c>
      <c r="B135" t="s">
        <v>58</v>
      </c>
      <c r="C135" t="s">
        <v>20</v>
      </c>
      <c r="D135" t="s">
        <v>13</v>
      </c>
      <c r="E135">
        <v>0.25</v>
      </c>
      <c r="F135">
        <v>40</v>
      </c>
      <c r="G135">
        <v>2</v>
      </c>
      <c r="H135">
        <v>2022</v>
      </c>
      <c r="I135" t="s">
        <v>230</v>
      </c>
      <c r="J135" t="str">
        <f t="shared" si="4"/>
        <v>Quarterfinal</v>
      </c>
      <c r="K135">
        <f t="shared" si="5"/>
        <v>0</v>
      </c>
    </row>
    <row r="136" spans="1:11">
      <c r="A136" t="s">
        <v>140</v>
      </c>
      <c r="B136" t="s">
        <v>141</v>
      </c>
      <c r="C136" t="s">
        <v>24</v>
      </c>
      <c r="D136" t="s">
        <v>17</v>
      </c>
      <c r="E136">
        <v>0.25</v>
      </c>
      <c r="F136">
        <v>40</v>
      </c>
      <c r="G136">
        <v>3</v>
      </c>
      <c r="H136">
        <v>2022</v>
      </c>
      <c r="I136" t="s">
        <v>230</v>
      </c>
      <c r="J136" t="str">
        <f t="shared" si="4"/>
        <v>Quarterfinal</v>
      </c>
      <c r="K136">
        <f t="shared" si="5"/>
        <v>0</v>
      </c>
    </row>
    <row r="137" spans="1:11">
      <c r="A137" t="s">
        <v>160</v>
      </c>
      <c r="B137" t="s">
        <v>161</v>
      </c>
      <c r="C137" t="s">
        <v>24</v>
      </c>
      <c r="D137" t="s">
        <v>13</v>
      </c>
      <c r="E137">
        <v>0.25</v>
      </c>
      <c r="F137">
        <v>31</v>
      </c>
      <c r="G137">
        <v>1</v>
      </c>
      <c r="H137">
        <v>2022</v>
      </c>
      <c r="I137" t="s">
        <v>231</v>
      </c>
      <c r="J137" t="str">
        <f t="shared" si="4"/>
        <v>Quarterfinal</v>
      </c>
      <c r="K137">
        <f t="shared" si="5"/>
        <v>1</v>
      </c>
    </row>
    <row r="138" spans="1:11">
      <c r="A138" t="s">
        <v>147</v>
      </c>
      <c r="B138" t="s">
        <v>148</v>
      </c>
      <c r="C138" t="s">
        <v>24</v>
      </c>
      <c r="D138" t="s">
        <v>17</v>
      </c>
      <c r="E138">
        <v>0.25</v>
      </c>
      <c r="F138">
        <v>29</v>
      </c>
      <c r="G138">
        <v>2</v>
      </c>
      <c r="H138">
        <v>2022</v>
      </c>
      <c r="I138" t="s">
        <v>231</v>
      </c>
      <c r="J138" t="str">
        <f t="shared" si="4"/>
        <v>Quarterfinal</v>
      </c>
      <c r="K138">
        <f t="shared" si="5"/>
        <v>0</v>
      </c>
    </row>
    <row r="139" spans="1:11">
      <c r="A139" t="s">
        <v>152</v>
      </c>
      <c r="B139" t="s">
        <v>153</v>
      </c>
      <c r="C139" t="s">
        <v>24</v>
      </c>
      <c r="D139" t="s">
        <v>17</v>
      </c>
      <c r="E139">
        <v>0.25</v>
      </c>
      <c r="F139">
        <v>24</v>
      </c>
      <c r="G139">
        <v>3</v>
      </c>
      <c r="H139">
        <v>2022</v>
      </c>
      <c r="I139" t="s">
        <v>231</v>
      </c>
      <c r="J139" t="str">
        <f t="shared" si="4"/>
        <v>Quarterfinal</v>
      </c>
      <c r="K139">
        <f t="shared" si="5"/>
        <v>0</v>
      </c>
    </row>
    <row r="140" spans="1:11">
      <c r="A140" t="s">
        <v>18</v>
      </c>
      <c r="B140" t="s">
        <v>19</v>
      </c>
      <c r="C140" t="s">
        <v>20</v>
      </c>
      <c r="D140" t="s">
        <v>13</v>
      </c>
      <c r="E140">
        <v>0.25</v>
      </c>
      <c r="F140">
        <v>59</v>
      </c>
      <c r="G140">
        <v>1</v>
      </c>
      <c r="H140">
        <v>2022</v>
      </c>
      <c r="I140" t="s">
        <v>232</v>
      </c>
      <c r="J140" t="str">
        <f t="shared" si="4"/>
        <v>Quarterfinal</v>
      </c>
      <c r="K140">
        <f t="shared" si="5"/>
        <v>1</v>
      </c>
    </row>
    <row r="141" spans="1:11">
      <c r="A141" t="s">
        <v>25</v>
      </c>
      <c r="B141" t="s">
        <v>26</v>
      </c>
      <c r="C141" t="s">
        <v>27</v>
      </c>
      <c r="D141" t="s">
        <v>17</v>
      </c>
      <c r="E141">
        <v>0.25</v>
      </c>
      <c r="F141">
        <v>43</v>
      </c>
      <c r="G141">
        <v>2</v>
      </c>
      <c r="H141">
        <v>2022</v>
      </c>
      <c r="I141" t="s">
        <v>232</v>
      </c>
      <c r="J141" t="str">
        <f t="shared" si="4"/>
        <v>Quarterfinal</v>
      </c>
      <c r="K141">
        <f t="shared" si="5"/>
        <v>0</v>
      </c>
    </row>
    <row r="142" spans="1:11">
      <c r="A142" t="s">
        <v>155</v>
      </c>
      <c r="B142" t="s">
        <v>156</v>
      </c>
      <c r="C142" t="s">
        <v>20</v>
      </c>
      <c r="D142" t="s">
        <v>17</v>
      </c>
      <c r="E142">
        <v>0.25</v>
      </c>
      <c r="F142">
        <v>31</v>
      </c>
      <c r="G142">
        <v>3</v>
      </c>
      <c r="H142">
        <v>2022</v>
      </c>
      <c r="I142" t="s">
        <v>232</v>
      </c>
      <c r="J142" t="str">
        <f t="shared" si="4"/>
        <v>Quarterfinal</v>
      </c>
      <c r="K142">
        <f t="shared" si="5"/>
        <v>0</v>
      </c>
    </row>
    <row r="143" spans="1:11">
      <c r="A143" t="s">
        <v>72</v>
      </c>
      <c r="B143" t="s">
        <v>73</v>
      </c>
      <c r="C143" t="s">
        <v>74</v>
      </c>
      <c r="D143" t="s">
        <v>13</v>
      </c>
      <c r="E143">
        <v>0.25</v>
      </c>
      <c r="F143">
        <v>44</v>
      </c>
      <c r="G143">
        <v>1</v>
      </c>
      <c r="H143">
        <v>2022</v>
      </c>
      <c r="I143" t="s">
        <v>233</v>
      </c>
      <c r="J143" t="str">
        <f t="shared" si="4"/>
        <v>Quarterfinal</v>
      </c>
      <c r="K143">
        <f t="shared" si="5"/>
        <v>1</v>
      </c>
    </row>
    <row r="144" spans="1:11">
      <c r="A144" t="s">
        <v>172</v>
      </c>
      <c r="B144" t="s">
        <v>173</v>
      </c>
      <c r="C144" t="s">
        <v>39</v>
      </c>
      <c r="D144" t="s">
        <v>17</v>
      </c>
      <c r="E144">
        <v>0.25</v>
      </c>
      <c r="F144">
        <v>29</v>
      </c>
      <c r="G144">
        <v>2</v>
      </c>
      <c r="H144">
        <v>2022</v>
      </c>
      <c r="I144" t="s">
        <v>233</v>
      </c>
      <c r="J144" t="str">
        <f t="shared" si="4"/>
        <v>Quarterfinal</v>
      </c>
      <c r="K144">
        <f t="shared" si="5"/>
        <v>0</v>
      </c>
    </row>
    <row r="145" spans="1:11">
      <c r="A145" t="s">
        <v>86</v>
      </c>
      <c r="B145" t="s">
        <v>87</v>
      </c>
      <c r="C145" t="s">
        <v>20</v>
      </c>
      <c r="D145" t="s">
        <v>17</v>
      </c>
      <c r="E145">
        <v>0.25</v>
      </c>
      <c r="F145">
        <v>23</v>
      </c>
      <c r="G145">
        <v>3</v>
      </c>
      <c r="H145">
        <v>2022</v>
      </c>
      <c r="I145" t="s">
        <v>233</v>
      </c>
      <c r="J145" t="str">
        <f t="shared" si="4"/>
        <v>Quarterfinal</v>
      </c>
      <c r="K145">
        <f t="shared" si="5"/>
        <v>0</v>
      </c>
    </row>
    <row r="146" spans="1:11">
      <c r="A146" t="s">
        <v>52</v>
      </c>
      <c r="B146" t="s">
        <v>53</v>
      </c>
      <c r="C146" t="s">
        <v>20</v>
      </c>
      <c r="D146" t="s">
        <v>13</v>
      </c>
      <c r="E146">
        <v>0.25</v>
      </c>
      <c r="F146">
        <v>59</v>
      </c>
      <c r="G146">
        <v>1</v>
      </c>
      <c r="H146">
        <v>2022</v>
      </c>
      <c r="I146" t="s">
        <v>234</v>
      </c>
      <c r="J146" t="str">
        <f t="shared" si="4"/>
        <v>Quarterfinal</v>
      </c>
      <c r="K146">
        <f t="shared" si="5"/>
        <v>1</v>
      </c>
    </row>
    <row r="147" spans="1:11">
      <c r="A147" t="s">
        <v>116</v>
      </c>
      <c r="B147" t="s">
        <v>117</v>
      </c>
      <c r="C147" t="s">
        <v>118</v>
      </c>
      <c r="D147" t="s">
        <v>13</v>
      </c>
      <c r="E147">
        <v>0.25</v>
      </c>
      <c r="F147">
        <v>31</v>
      </c>
      <c r="G147">
        <v>2</v>
      </c>
      <c r="H147">
        <v>2022</v>
      </c>
      <c r="I147" t="s">
        <v>234</v>
      </c>
      <c r="J147" t="str">
        <f t="shared" si="4"/>
        <v>Quarterfinal</v>
      </c>
      <c r="K147">
        <f t="shared" si="5"/>
        <v>0</v>
      </c>
    </row>
    <row r="148" spans="1:11">
      <c r="A148" t="s">
        <v>69</v>
      </c>
      <c r="B148" t="s">
        <v>70</v>
      </c>
      <c r="C148" t="s">
        <v>27</v>
      </c>
      <c r="D148" t="s">
        <v>13</v>
      </c>
      <c r="E148">
        <v>0.25</v>
      </c>
      <c r="F148">
        <v>25</v>
      </c>
      <c r="G148">
        <v>3</v>
      </c>
      <c r="H148">
        <v>2022</v>
      </c>
      <c r="I148" t="s">
        <v>234</v>
      </c>
      <c r="J148" t="str">
        <f t="shared" si="4"/>
        <v>Quarterfinal</v>
      </c>
      <c r="K148">
        <f t="shared" si="5"/>
        <v>0</v>
      </c>
    </row>
    <row r="149" spans="1:11">
      <c r="A149" t="s">
        <v>10</v>
      </c>
      <c r="B149" t="s">
        <v>11</v>
      </c>
      <c r="C149" t="s">
        <v>12</v>
      </c>
      <c r="D149" t="s">
        <v>13</v>
      </c>
      <c r="E149">
        <v>0.25</v>
      </c>
      <c r="F149">
        <v>67</v>
      </c>
      <c r="G149">
        <v>1</v>
      </c>
      <c r="H149">
        <v>2022</v>
      </c>
      <c r="I149" t="s">
        <v>235</v>
      </c>
      <c r="J149" t="str">
        <f t="shared" si="4"/>
        <v>Quarterfinal</v>
      </c>
      <c r="K149">
        <f t="shared" si="5"/>
        <v>1</v>
      </c>
    </row>
    <row r="150" spans="1:11">
      <c r="A150" t="s">
        <v>46</v>
      </c>
      <c r="B150" t="s">
        <v>47</v>
      </c>
      <c r="C150" t="s">
        <v>12</v>
      </c>
      <c r="D150" t="s">
        <v>13</v>
      </c>
      <c r="E150">
        <v>0.25</v>
      </c>
      <c r="F150">
        <v>33</v>
      </c>
      <c r="G150">
        <v>2</v>
      </c>
      <c r="H150">
        <v>2022</v>
      </c>
      <c r="I150" t="s">
        <v>235</v>
      </c>
      <c r="J150" t="str">
        <f t="shared" si="4"/>
        <v>Quarterfinal</v>
      </c>
      <c r="K150">
        <f t="shared" si="5"/>
        <v>0</v>
      </c>
    </row>
    <row r="151" spans="1:11">
      <c r="A151" t="s">
        <v>37</v>
      </c>
      <c r="B151" t="s">
        <v>38</v>
      </c>
      <c r="C151" t="s">
        <v>39</v>
      </c>
      <c r="D151" t="s">
        <v>13</v>
      </c>
      <c r="E151">
        <v>0.25</v>
      </c>
      <c r="F151">
        <v>26</v>
      </c>
      <c r="G151">
        <v>3</v>
      </c>
      <c r="H151">
        <v>2022</v>
      </c>
      <c r="I151" t="s">
        <v>235</v>
      </c>
      <c r="J151" t="str">
        <f t="shared" si="4"/>
        <v>Quarterfinal</v>
      </c>
      <c r="K151">
        <f t="shared" si="5"/>
        <v>0</v>
      </c>
    </row>
    <row r="152" spans="1:11">
      <c r="A152" t="s">
        <v>43</v>
      </c>
      <c r="B152" t="s">
        <v>44</v>
      </c>
      <c r="C152" t="s">
        <v>39</v>
      </c>
      <c r="D152" t="s">
        <v>17</v>
      </c>
      <c r="E152">
        <v>0.25</v>
      </c>
      <c r="F152">
        <v>51</v>
      </c>
      <c r="G152">
        <v>1</v>
      </c>
      <c r="H152">
        <v>2022</v>
      </c>
      <c r="I152" t="s">
        <v>236</v>
      </c>
      <c r="J152" t="str">
        <f t="shared" si="4"/>
        <v>Quarterfinal</v>
      </c>
      <c r="K152">
        <f t="shared" si="5"/>
        <v>1</v>
      </c>
    </row>
    <row r="153" spans="1:11">
      <c r="A153" t="s">
        <v>54</v>
      </c>
      <c r="B153" t="s">
        <v>55</v>
      </c>
      <c r="C153" t="s">
        <v>20</v>
      </c>
      <c r="D153" t="s">
        <v>17</v>
      </c>
      <c r="E153">
        <v>0.25</v>
      </c>
      <c r="F153">
        <v>50</v>
      </c>
      <c r="G153">
        <v>2</v>
      </c>
      <c r="H153">
        <v>2022</v>
      </c>
      <c r="I153" t="s">
        <v>236</v>
      </c>
      <c r="J153" t="str">
        <f t="shared" si="4"/>
        <v>Quarterfinal</v>
      </c>
      <c r="K153">
        <f t="shared" si="5"/>
        <v>0</v>
      </c>
    </row>
    <row r="154" spans="1:11">
      <c r="A154" t="s">
        <v>91</v>
      </c>
      <c r="B154" t="s">
        <v>92</v>
      </c>
      <c r="C154" t="s">
        <v>12</v>
      </c>
      <c r="D154" t="s">
        <v>17</v>
      </c>
      <c r="E154">
        <v>0.25</v>
      </c>
      <c r="F154">
        <v>36</v>
      </c>
      <c r="G154">
        <v>3</v>
      </c>
      <c r="H154">
        <v>2022</v>
      </c>
      <c r="I154" t="s">
        <v>236</v>
      </c>
      <c r="J154" t="str">
        <f t="shared" si="4"/>
        <v>Quarterfinal</v>
      </c>
      <c r="K154">
        <f t="shared" si="5"/>
        <v>0</v>
      </c>
    </row>
    <row r="155" spans="1:11">
      <c r="A155" t="s">
        <v>22</v>
      </c>
      <c r="B155" t="s">
        <v>23</v>
      </c>
      <c r="C155" t="s">
        <v>24</v>
      </c>
      <c r="D155" t="s">
        <v>13</v>
      </c>
      <c r="E155">
        <v>0.25</v>
      </c>
      <c r="F155">
        <v>51</v>
      </c>
      <c r="G155">
        <v>1</v>
      </c>
      <c r="H155">
        <v>2022</v>
      </c>
      <c r="I155" t="s">
        <v>237</v>
      </c>
      <c r="J155" t="str">
        <f t="shared" si="4"/>
        <v>Quarterfinal</v>
      </c>
      <c r="K155">
        <f t="shared" si="5"/>
        <v>1</v>
      </c>
    </row>
    <row r="156" spans="1:11">
      <c r="A156" t="s">
        <v>207</v>
      </c>
      <c r="B156" t="s">
        <v>208</v>
      </c>
      <c r="C156" t="s">
        <v>20</v>
      </c>
      <c r="D156" t="s">
        <v>13</v>
      </c>
      <c r="E156">
        <v>0.25</v>
      </c>
      <c r="F156">
        <v>45</v>
      </c>
      <c r="G156">
        <v>2</v>
      </c>
      <c r="H156">
        <v>2022</v>
      </c>
      <c r="I156" t="s">
        <v>237</v>
      </c>
      <c r="J156" t="str">
        <f t="shared" si="4"/>
        <v>Quarterfinal</v>
      </c>
      <c r="K156">
        <f t="shared" si="5"/>
        <v>0</v>
      </c>
    </row>
    <row r="157" spans="1:11">
      <c r="A157" t="s">
        <v>78</v>
      </c>
      <c r="B157" t="s">
        <v>79</v>
      </c>
      <c r="C157" t="s">
        <v>80</v>
      </c>
      <c r="D157" t="s">
        <v>17</v>
      </c>
      <c r="E157">
        <v>0.25</v>
      </c>
      <c r="F157">
        <v>38</v>
      </c>
      <c r="G157">
        <v>3</v>
      </c>
      <c r="H157">
        <v>2022</v>
      </c>
      <c r="I157" t="s">
        <v>237</v>
      </c>
      <c r="J157" t="str">
        <f t="shared" si="4"/>
        <v>Quarterfinal</v>
      </c>
      <c r="K157">
        <f t="shared" si="5"/>
        <v>0</v>
      </c>
    </row>
    <row r="158" spans="1:11">
      <c r="A158" t="s">
        <v>35</v>
      </c>
      <c r="B158" t="s">
        <v>36</v>
      </c>
      <c r="C158" t="s">
        <v>20</v>
      </c>
      <c r="D158" t="s">
        <v>13</v>
      </c>
      <c r="E158">
        <v>0.25</v>
      </c>
      <c r="F158">
        <v>47</v>
      </c>
      <c r="G158">
        <v>1</v>
      </c>
      <c r="H158">
        <v>2022</v>
      </c>
      <c r="I158" t="s">
        <v>238</v>
      </c>
      <c r="J158" t="str">
        <f t="shared" si="4"/>
        <v>Quarterfinal</v>
      </c>
      <c r="K158">
        <f t="shared" si="5"/>
        <v>1</v>
      </c>
    </row>
    <row r="159" spans="1:11">
      <c r="A159" t="s">
        <v>75</v>
      </c>
      <c r="B159" t="s">
        <v>76</v>
      </c>
      <c r="C159" t="s">
        <v>39</v>
      </c>
      <c r="D159" t="s">
        <v>17</v>
      </c>
      <c r="E159">
        <v>0.25</v>
      </c>
      <c r="F159">
        <v>41</v>
      </c>
      <c r="G159">
        <v>2</v>
      </c>
      <c r="H159">
        <v>2022</v>
      </c>
      <c r="I159" t="s">
        <v>238</v>
      </c>
      <c r="J159" t="str">
        <f t="shared" si="4"/>
        <v>Quarterfinal</v>
      </c>
      <c r="K159">
        <f t="shared" si="5"/>
        <v>0</v>
      </c>
    </row>
    <row r="160" spans="1:11">
      <c r="A160" t="s">
        <v>41</v>
      </c>
      <c r="B160" t="s">
        <v>42</v>
      </c>
      <c r="C160" t="s">
        <v>27</v>
      </c>
      <c r="D160" t="s">
        <v>17</v>
      </c>
      <c r="E160">
        <v>0.25</v>
      </c>
      <c r="F160">
        <v>32</v>
      </c>
      <c r="G160">
        <v>3</v>
      </c>
      <c r="H160">
        <v>2022</v>
      </c>
      <c r="I160" t="s">
        <v>238</v>
      </c>
      <c r="J160" t="str">
        <f t="shared" si="4"/>
        <v>Quarterfinal</v>
      </c>
      <c r="K160">
        <f t="shared" si="5"/>
        <v>0</v>
      </c>
    </row>
    <row r="161" spans="1:11">
      <c r="A161" t="s">
        <v>25</v>
      </c>
      <c r="B161" t="s">
        <v>26</v>
      </c>
      <c r="C161" t="s">
        <v>27</v>
      </c>
      <c r="D161" t="s">
        <v>17</v>
      </c>
      <c r="E161">
        <v>0.125</v>
      </c>
      <c r="F161">
        <v>52</v>
      </c>
      <c r="G161">
        <v>1</v>
      </c>
      <c r="H161">
        <v>2022</v>
      </c>
      <c r="I161" t="s">
        <v>239</v>
      </c>
      <c r="J161" t="str">
        <f t="shared" si="4"/>
        <v>Preliminary</v>
      </c>
      <c r="K161">
        <f t="shared" si="5"/>
        <v>1</v>
      </c>
    </row>
    <row r="162" spans="1:11">
      <c r="A162" t="s">
        <v>165</v>
      </c>
      <c r="B162" t="s">
        <v>166</v>
      </c>
      <c r="C162" t="s">
        <v>24</v>
      </c>
      <c r="D162" t="s">
        <v>17</v>
      </c>
      <c r="E162">
        <v>0.125</v>
      </c>
      <c r="F162">
        <v>40</v>
      </c>
      <c r="G162">
        <v>2</v>
      </c>
      <c r="H162">
        <v>2022</v>
      </c>
      <c r="I162" t="s">
        <v>239</v>
      </c>
      <c r="J162" t="str">
        <f t="shared" si="4"/>
        <v>Preliminary</v>
      </c>
      <c r="K162">
        <f t="shared" si="5"/>
        <v>0</v>
      </c>
    </row>
    <row r="163" spans="1:11">
      <c r="A163" t="s">
        <v>240</v>
      </c>
      <c r="B163" t="s">
        <v>241</v>
      </c>
      <c r="C163" t="s">
        <v>12</v>
      </c>
      <c r="D163" t="s">
        <v>17</v>
      </c>
      <c r="E163">
        <v>0.125</v>
      </c>
      <c r="F163">
        <v>21</v>
      </c>
      <c r="G163">
        <v>3</v>
      </c>
      <c r="H163">
        <v>2022</v>
      </c>
      <c r="I163" t="s">
        <v>239</v>
      </c>
      <c r="J163" t="str">
        <f t="shared" si="4"/>
        <v>Preliminary</v>
      </c>
      <c r="K163">
        <f t="shared" si="5"/>
        <v>0</v>
      </c>
    </row>
    <row r="164" spans="1:11">
      <c r="A164" t="s">
        <v>18</v>
      </c>
      <c r="B164" t="s">
        <v>19</v>
      </c>
      <c r="C164" t="s">
        <v>20</v>
      </c>
      <c r="D164" t="s">
        <v>13</v>
      </c>
      <c r="E164">
        <v>0.125</v>
      </c>
      <c r="F164">
        <v>64</v>
      </c>
      <c r="G164">
        <v>1</v>
      </c>
      <c r="H164">
        <v>2022</v>
      </c>
      <c r="I164" t="s">
        <v>242</v>
      </c>
      <c r="J164" t="str">
        <f t="shared" si="4"/>
        <v>Preliminary</v>
      </c>
      <c r="K164">
        <f t="shared" si="5"/>
        <v>1</v>
      </c>
    </row>
    <row r="165" spans="1:11">
      <c r="A165" t="s">
        <v>96</v>
      </c>
      <c r="B165" t="s">
        <v>97</v>
      </c>
      <c r="C165" t="s">
        <v>74</v>
      </c>
      <c r="D165" t="s">
        <v>17</v>
      </c>
      <c r="E165">
        <v>0.125</v>
      </c>
      <c r="F165">
        <v>19</v>
      </c>
      <c r="G165">
        <v>2</v>
      </c>
      <c r="H165">
        <v>2022</v>
      </c>
      <c r="I165" t="s">
        <v>242</v>
      </c>
      <c r="J165" t="str">
        <f t="shared" si="4"/>
        <v>Preliminary</v>
      </c>
      <c r="K165">
        <f t="shared" si="5"/>
        <v>0</v>
      </c>
    </row>
    <row r="166" spans="1:11">
      <c r="A166" t="s">
        <v>111</v>
      </c>
      <c r="B166" t="s">
        <v>112</v>
      </c>
      <c r="C166" t="s">
        <v>27</v>
      </c>
      <c r="D166" t="s">
        <v>17</v>
      </c>
      <c r="E166">
        <v>0.125</v>
      </c>
      <c r="F166">
        <v>15</v>
      </c>
      <c r="G166">
        <v>3</v>
      </c>
      <c r="H166">
        <v>2022</v>
      </c>
      <c r="I166" t="s">
        <v>242</v>
      </c>
      <c r="J166" t="str">
        <f t="shared" si="4"/>
        <v>Preliminary</v>
      </c>
      <c r="K166">
        <f t="shared" si="5"/>
        <v>0</v>
      </c>
    </row>
    <row r="167" spans="1:11">
      <c r="A167" t="s">
        <v>155</v>
      </c>
      <c r="B167" t="s">
        <v>156</v>
      </c>
      <c r="C167" t="s">
        <v>20</v>
      </c>
      <c r="D167" t="s">
        <v>17</v>
      </c>
      <c r="E167">
        <v>0.125</v>
      </c>
      <c r="F167">
        <v>51</v>
      </c>
      <c r="G167">
        <v>1</v>
      </c>
      <c r="H167">
        <v>2022</v>
      </c>
      <c r="I167" t="s">
        <v>243</v>
      </c>
      <c r="J167" t="str">
        <f t="shared" si="4"/>
        <v>Preliminary</v>
      </c>
      <c r="K167">
        <f t="shared" si="5"/>
        <v>1</v>
      </c>
    </row>
    <row r="168" spans="1:11">
      <c r="A168" t="s">
        <v>244</v>
      </c>
      <c r="B168" t="s">
        <v>245</v>
      </c>
      <c r="C168" t="s">
        <v>50</v>
      </c>
      <c r="D168" t="s">
        <v>17</v>
      </c>
      <c r="E168">
        <v>0.125</v>
      </c>
      <c r="F168">
        <v>30</v>
      </c>
      <c r="G168">
        <v>2</v>
      </c>
      <c r="H168">
        <v>2022</v>
      </c>
      <c r="I168" t="s">
        <v>243</v>
      </c>
      <c r="J168" t="str">
        <f t="shared" si="4"/>
        <v>Preliminary</v>
      </c>
      <c r="K168">
        <f t="shared" si="5"/>
        <v>0</v>
      </c>
    </row>
    <row r="169" spans="1:11">
      <c r="A169" t="s">
        <v>137</v>
      </c>
      <c r="B169" t="s">
        <v>138</v>
      </c>
      <c r="C169" t="s">
        <v>27</v>
      </c>
      <c r="D169" t="s">
        <v>31</v>
      </c>
      <c r="E169">
        <v>0.125</v>
      </c>
      <c r="F169">
        <v>18</v>
      </c>
      <c r="G169">
        <v>3</v>
      </c>
      <c r="H169">
        <v>2022</v>
      </c>
      <c r="I169" t="s">
        <v>243</v>
      </c>
      <c r="J169" t="str">
        <f t="shared" si="4"/>
        <v>Preliminary</v>
      </c>
      <c r="K169">
        <f t="shared" si="5"/>
        <v>0</v>
      </c>
    </row>
    <row r="170" spans="1:11">
      <c r="A170" t="s">
        <v>152</v>
      </c>
      <c r="B170" t="s">
        <v>153</v>
      </c>
      <c r="C170" t="s">
        <v>24</v>
      </c>
      <c r="D170" t="s">
        <v>17</v>
      </c>
      <c r="E170">
        <v>0.125</v>
      </c>
      <c r="F170">
        <v>41</v>
      </c>
      <c r="G170">
        <v>1</v>
      </c>
      <c r="H170">
        <v>2022</v>
      </c>
      <c r="I170" t="s">
        <v>246</v>
      </c>
      <c r="J170" t="str">
        <f t="shared" si="4"/>
        <v>Preliminary</v>
      </c>
      <c r="K170">
        <f t="shared" si="5"/>
        <v>1</v>
      </c>
    </row>
    <row r="171" spans="1:11">
      <c r="A171" t="s">
        <v>247</v>
      </c>
      <c r="B171" t="s">
        <v>248</v>
      </c>
      <c r="C171" t="s">
        <v>195</v>
      </c>
      <c r="D171" t="s">
        <v>13</v>
      </c>
      <c r="E171">
        <v>0.125</v>
      </c>
      <c r="F171">
        <v>26</v>
      </c>
      <c r="G171">
        <v>2</v>
      </c>
      <c r="H171">
        <v>2022</v>
      </c>
      <c r="I171" t="s">
        <v>246</v>
      </c>
      <c r="J171" t="str">
        <f t="shared" si="4"/>
        <v>Preliminary</v>
      </c>
      <c r="K171">
        <f t="shared" si="5"/>
        <v>0</v>
      </c>
    </row>
    <row r="172" spans="1:11">
      <c r="A172" t="s">
        <v>94</v>
      </c>
      <c r="B172" t="s">
        <v>95</v>
      </c>
      <c r="C172" t="s">
        <v>20</v>
      </c>
      <c r="D172" t="s">
        <v>17</v>
      </c>
      <c r="E172">
        <v>0.125</v>
      </c>
      <c r="F172">
        <v>15</v>
      </c>
      <c r="G172">
        <v>3</v>
      </c>
      <c r="H172">
        <v>2022</v>
      </c>
      <c r="I172" t="s">
        <v>246</v>
      </c>
      <c r="J172" t="str">
        <f t="shared" si="4"/>
        <v>Preliminary</v>
      </c>
      <c r="K172">
        <f t="shared" si="5"/>
        <v>0</v>
      </c>
    </row>
    <row r="173" spans="1:11">
      <c r="A173" t="s">
        <v>160</v>
      </c>
      <c r="B173" t="s">
        <v>161</v>
      </c>
      <c r="C173" t="s">
        <v>24</v>
      </c>
      <c r="D173" t="s">
        <v>13</v>
      </c>
      <c r="E173">
        <v>0.125</v>
      </c>
      <c r="F173">
        <v>52</v>
      </c>
      <c r="G173">
        <v>1</v>
      </c>
      <c r="H173">
        <v>2022</v>
      </c>
      <c r="I173" t="s">
        <v>249</v>
      </c>
      <c r="J173" t="str">
        <f t="shared" si="4"/>
        <v>Preliminary</v>
      </c>
      <c r="K173">
        <f t="shared" si="5"/>
        <v>1</v>
      </c>
    </row>
    <row r="174" spans="1:11">
      <c r="A174" t="s">
        <v>202</v>
      </c>
      <c r="B174" t="s">
        <v>203</v>
      </c>
      <c r="C174" t="s">
        <v>39</v>
      </c>
      <c r="D174" t="s">
        <v>13</v>
      </c>
      <c r="E174">
        <v>0.125</v>
      </c>
      <c r="F174">
        <v>30</v>
      </c>
      <c r="G174">
        <v>2</v>
      </c>
      <c r="H174">
        <v>2022</v>
      </c>
      <c r="I174" t="s">
        <v>249</v>
      </c>
      <c r="J174" t="str">
        <f t="shared" si="4"/>
        <v>Preliminary</v>
      </c>
      <c r="K174">
        <f t="shared" si="5"/>
        <v>0</v>
      </c>
    </row>
    <row r="175" spans="1:11">
      <c r="A175" t="s">
        <v>250</v>
      </c>
      <c r="B175" t="s">
        <v>251</v>
      </c>
      <c r="C175" t="s">
        <v>252</v>
      </c>
      <c r="D175" t="s">
        <v>17</v>
      </c>
      <c r="E175">
        <v>0.125</v>
      </c>
      <c r="F175">
        <v>1</v>
      </c>
      <c r="G175">
        <v>3</v>
      </c>
      <c r="H175">
        <v>2022</v>
      </c>
      <c r="I175" t="s">
        <v>249</v>
      </c>
      <c r="J175" t="str">
        <f t="shared" si="4"/>
        <v>Preliminary</v>
      </c>
      <c r="K175">
        <f t="shared" si="5"/>
        <v>0</v>
      </c>
    </row>
    <row r="176" spans="1:11">
      <c r="A176" t="s">
        <v>69</v>
      </c>
      <c r="B176" t="s">
        <v>70</v>
      </c>
      <c r="C176" t="s">
        <v>27</v>
      </c>
      <c r="D176" t="s">
        <v>13</v>
      </c>
      <c r="E176">
        <v>0.125</v>
      </c>
      <c r="F176">
        <v>43</v>
      </c>
      <c r="G176">
        <v>1</v>
      </c>
      <c r="H176">
        <v>2022</v>
      </c>
      <c r="I176" t="s">
        <v>253</v>
      </c>
      <c r="J176" t="str">
        <f t="shared" si="4"/>
        <v>Preliminary</v>
      </c>
      <c r="K176">
        <f t="shared" si="5"/>
        <v>1</v>
      </c>
    </row>
    <row r="177" spans="1:11">
      <c r="A177" t="s">
        <v>254</v>
      </c>
      <c r="B177" t="s">
        <v>255</v>
      </c>
      <c r="C177" t="s">
        <v>50</v>
      </c>
      <c r="D177" t="s">
        <v>17</v>
      </c>
      <c r="E177">
        <v>0.125</v>
      </c>
      <c r="F177">
        <v>36</v>
      </c>
      <c r="G177">
        <v>2</v>
      </c>
      <c r="H177">
        <v>2022</v>
      </c>
      <c r="I177" t="s">
        <v>253</v>
      </c>
      <c r="J177" t="str">
        <f t="shared" si="4"/>
        <v>Preliminary</v>
      </c>
      <c r="K177">
        <f t="shared" si="5"/>
        <v>0</v>
      </c>
    </row>
    <row r="178" spans="1:11">
      <c r="A178" t="s">
        <v>212</v>
      </c>
      <c r="B178" t="s">
        <v>213</v>
      </c>
      <c r="C178" t="s">
        <v>20</v>
      </c>
      <c r="D178" t="s">
        <v>17</v>
      </c>
      <c r="E178">
        <v>0.125</v>
      </c>
      <c r="F178">
        <v>35</v>
      </c>
      <c r="G178">
        <v>3</v>
      </c>
      <c r="H178">
        <v>2022</v>
      </c>
      <c r="I178" t="s">
        <v>253</v>
      </c>
      <c r="J178" t="str">
        <f t="shared" si="4"/>
        <v>Preliminary</v>
      </c>
      <c r="K178">
        <f t="shared" si="5"/>
        <v>0</v>
      </c>
    </row>
    <row r="179" spans="1:11">
      <c r="A179" t="s">
        <v>37</v>
      </c>
      <c r="B179" t="s">
        <v>38</v>
      </c>
      <c r="C179" t="s">
        <v>39</v>
      </c>
      <c r="D179" t="s">
        <v>13</v>
      </c>
      <c r="E179">
        <v>0.125</v>
      </c>
      <c r="F179">
        <v>31</v>
      </c>
      <c r="G179">
        <v>1</v>
      </c>
      <c r="H179">
        <v>2022</v>
      </c>
      <c r="I179" t="s">
        <v>256</v>
      </c>
      <c r="J179" t="str">
        <f t="shared" si="4"/>
        <v>Preliminary</v>
      </c>
      <c r="K179">
        <f t="shared" si="5"/>
        <v>1</v>
      </c>
    </row>
    <row r="180" spans="1:11">
      <c r="A180" t="s">
        <v>257</v>
      </c>
      <c r="B180" t="s">
        <v>258</v>
      </c>
      <c r="C180" t="s">
        <v>12</v>
      </c>
      <c r="D180" t="s">
        <v>17</v>
      </c>
      <c r="E180">
        <v>0.125</v>
      </c>
      <c r="F180">
        <v>28</v>
      </c>
      <c r="G180">
        <v>2</v>
      </c>
      <c r="H180">
        <v>2022</v>
      </c>
      <c r="I180" t="s">
        <v>256</v>
      </c>
      <c r="J180" t="str">
        <f t="shared" si="4"/>
        <v>Preliminary</v>
      </c>
      <c r="K180">
        <f t="shared" si="5"/>
        <v>0</v>
      </c>
    </row>
    <row r="181" spans="1:11">
      <c r="A181" t="s">
        <v>209</v>
      </c>
      <c r="B181" t="s">
        <v>210</v>
      </c>
      <c r="C181" t="s">
        <v>50</v>
      </c>
      <c r="D181" t="s">
        <v>17</v>
      </c>
      <c r="E181">
        <v>0.125</v>
      </c>
      <c r="F181">
        <v>24</v>
      </c>
      <c r="G181">
        <v>3</v>
      </c>
      <c r="H181">
        <v>2022</v>
      </c>
      <c r="I181" t="s">
        <v>256</v>
      </c>
      <c r="J181" t="str">
        <f t="shared" si="4"/>
        <v>Preliminary</v>
      </c>
      <c r="K181">
        <f t="shared" si="5"/>
        <v>0</v>
      </c>
    </row>
    <row r="182" spans="1:11">
      <c r="A182" t="s">
        <v>81</v>
      </c>
      <c r="B182" t="s">
        <v>82</v>
      </c>
      <c r="C182" t="s">
        <v>24</v>
      </c>
      <c r="D182" t="s">
        <v>13</v>
      </c>
      <c r="E182">
        <v>0.125</v>
      </c>
      <c r="F182">
        <v>48</v>
      </c>
      <c r="G182">
        <v>1</v>
      </c>
      <c r="H182">
        <v>2022</v>
      </c>
      <c r="I182" t="s">
        <v>259</v>
      </c>
      <c r="J182" t="str">
        <f t="shared" si="4"/>
        <v>Preliminary</v>
      </c>
      <c r="K182">
        <f t="shared" si="5"/>
        <v>1</v>
      </c>
    </row>
    <row r="183" spans="1:11">
      <c r="A183" t="s">
        <v>260</v>
      </c>
      <c r="B183" t="s">
        <v>261</v>
      </c>
      <c r="C183" t="s">
        <v>80</v>
      </c>
      <c r="D183" t="s">
        <v>17</v>
      </c>
      <c r="E183">
        <v>0.125</v>
      </c>
      <c r="F183">
        <v>37</v>
      </c>
      <c r="G183">
        <v>2</v>
      </c>
      <c r="H183">
        <v>2022</v>
      </c>
      <c r="I183" t="s">
        <v>259</v>
      </c>
      <c r="J183" t="str">
        <f t="shared" si="4"/>
        <v>Preliminary</v>
      </c>
      <c r="K183">
        <f t="shared" si="5"/>
        <v>0</v>
      </c>
    </row>
    <row r="184" spans="1:11">
      <c r="A184" t="s">
        <v>15</v>
      </c>
      <c r="B184" t="s">
        <v>16</v>
      </c>
      <c r="C184" t="s">
        <v>12</v>
      </c>
      <c r="D184" t="s">
        <v>17</v>
      </c>
      <c r="E184">
        <v>0.125</v>
      </c>
      <c r="F184">
        <v>34</v>
      </c>
      <c r="G184">
        <v>3</v>
      </c>
      <c r="H184">
        <v>2022</v>
      </c>
      <c r="I184" t="s">
        <v>259</v>
      </c>
      <c r="J184" t="str">
        <f t="shared" si="4"/>
        <v>Preliminary</v>
      </c>
      <c r="K184">
        <f t="shared" si="5"/>
        <v>0</v>
      </c>
    </row>
    <row r="185" spans="1:11">
      <c r="A185" t="s">
        <v>140</v>
      </c>
      <c r="B185" t="s">
        <v>141</v>
      </c>
      <c r="C185" t="s">
        <v>24</v>
      </c>
      <c r="D185" t="s">
        <v>17</v>
      </c>
      <c r="E185">
        <v>0.125</v>
      </c>
      <c r="F185">
        <v>28</v>
      </c>
      <c r="G185">
        <v>1</v>
      </c>
      <c r="H185">
        <v>2022</v>
      </c>
      <c r="I185" t="s">
        <v>262</v>
      </c>
      <c r="J185" t="str">
        <f t="shared" si="4"/>
        <v>Preliminary</v>
      </c>
      <c r="K185">
        <f t="shared" si="5"/>
        <v>1</v>
      </c>
    </row>
    <row r="186" spans="1:11">
      <c r="A186" t="s">
        <v>67</v>
      </c>
      <c r="B186" t="s">
        <v>68</v>
      </c>
      <c r="C186" t="s">
        <v>39</v>
      </c>
      <c r="D186" t="s">
        <v>17</v>
      </c>
      <c r="E186">
        <v>0.125</v>
      </c>
      <c r="F186">
        <v>25</v>
      </c>
      <c r="G186">
        <v>2</v>
      </c>
      <c r="H186">
        <v>2022</v>
      </c>
      <c r="I186" t="s">
        <v>262</v>
      </c>
      <c r="J186" t="str">
        <f t="shared" si="4"/>
        <v>Preliminary</v>
      </c>
      <c r="K186">
        <f t="shared" si="5"/>
        <v>0</v>
      </c>
    </row>
    <row r="187" spans="1:11">
      <c r="A187" t="s">
        <v>263</v>
      </c>
      <c r="B187" t="s">
        <v>264</v>
      </c>
      <c r="C187" t="s">
        <v>118</v>
      </c>
      <c r="D187" t="s">
        <v>13</v>
      </c>
      <c r="E187">
        <v>0.125</v>
      </c>
      <c r="F187">
        <v>20</v>
      </c>
      <c r="G187">
        <v>3</v>
      </c>
      <c r="H187">
        <v>2022</v>
      </c>
      <c r="I187" t="s">
        <v>262</v>
      </c>
      <c r="J187" t="str">
        <f t="shared" si="4"/>
        <v>Preliminary</v>
      </c>
      <c r="K187">
        <f t="shared" si="5"/>
        <v>0</v>
      </c>
    </row>
    <row r="188" spans="1:11">
      <c r="A188" t="s">
        <v>46</v>
      </c>
      <c r="B188" t="s">
        <v>47</v>
      </c>
      <c r="C188" t="s">
        <v>12</v>
      </c>
      <c r="D188" t="s">
        <v>13</v>
      </c>
      <c r="E188">
        <v>0.125</v>
      </c>
      <c r="F188">
        <v>60</v>
      </c>
      <c r="G188">
        <v>1</v>
      </c>
      <c r="H188">
        <v>2022</v>
      </c>
      <c r="I188" t="s">
        <v>265</v>
      </c>
      <c r="J188" t="str">
        <f t="shared" si="4"/>
        <v>Preliminary</v>
      </c>
      <c r="K188">
        <f t="shared" si="5"/>
        <v>1</v>
      </c>
    </row>
    <row r="189" spans="1:11">
      <c r="A189" t="s">
        <v>266</v>
      </c>
      <c r="B189" t="s">
        <v>267</v>
      </c>
      <c r="C189" t="s">
        <v>20</v>
      </c>
      <c r="D189" t="s">
        <v>17</v>
      </c>
      <c r="E189">
        <v>0.125</v>
      </c>
      <c r="F189">
        <v>35</v>
      </c>
      <c r="G189">
        <v>2</v>
      </c>
      <c r="H189">
        <v>2022</v>
      </c>
      <c r="I189" t="s">
        <v>265</v>
      </c>
      <c r="J189" t="str">
        <f t="shared" si="4"/>
        <v>Preliminary</v>
      </c>
      <c r="K189">
        <f t="shared" si="5"/>
        <v>0</v>
      </c>
    </row>
    <row r="190" spans="1:11">
      <c r="A190" t="s">
        <v>175</v>
      </c>
      <c r="B190" t="s">
        <v>176</v>
      </c>
      <c r="C190" t="s">
        <v>177</v>
      </c>
      <c r="D190" t="s">
        <v>31</v>
      </c>
      <c r="E190">
        <v>0.125</v>
      </c>
      <c r="F190">
        <v>29</v>
      </c>
      <c r="G190">
        <v>3</v>
      </c>
      <c r="H190">
        <v>2022</v>
      </c>
      <c r="I190" t="s">
        <v>265</v>
      </c>
      <c r="J190" t="str">
        <f t="shared" si="4"/>
        <v>Preliminary</v>
      </c>
      <c r="K190">
        <f t="shared" si="5"/>
        <v>0</v>
      </c>
    </row>
    <row r="191" spans="1:11">
      <c r="A191" t="s">
        <v>10</v>
      </c>
      <c r="B191" t="s">
        <v>11</v>
      </c>
      <c r="C191" t="s">
        <v>12</v>
      </c>
      <c r="D191" t="s">
        <v>13</v>
      </c>
      <c r="E191">
        <v>0.125</v>
      </c>
      <c r="F191">
        <v>54</v>
      </c>
      <c r="G191">
        <v>1</v>
      </c>
      <c r="H191">
        <v>2022</v>
      </c>
      <c r="I191" t="s">
        <v>268</v>
      </c>
      <c r="J191" t="str">
        <f t="shared" si="4"/>
        <v>Preliminary</v>
      </c>
      <c r="K191">
        <f t="shared" si="5"/>
        <v>1</v>
      </c>
    </row>
    <row r="192" spans="1:11">
      <c r="A192" t="s">
        <v>269</v>
      </c>
      <c r="B192" t="s">
        <v>270</v>
      </c>
      <c r="C192" t="s">
        <v>20</v>
      </c>
      <c r="D192" t="s">
        <v>17</v>
      </c>
      <c r="E192">
        <v>0.125</v>
      </c>
      <c r="F192">
        <v>45</v>
      </c>
      <c r="G192">
        <v>2</v>
      </c>
      <c r="H192">
        <v>2022</v>
      </c>
      <c r="I192" t="s">
        <v>268</v>
      </c>
      <c r="J192" t="str">
        <f t="shared" si="4"/>
        <v>Preliminary</v>
      </c>
      <c r="K192">
        <f t="shared" si="5"/>
        <v>0</v>
      </c>
    </row>
    <row r="193" spans="1:11">
      <c r="A193" t="s">
        <v>271</v>
      </c>
      <c r="B193" t="s">
        <v>272</v>
      </c>
      <c r="C193" t="s">
        <v>50</v>
      </c>
      <c r="D193" t="s">
        <v>17</v>
      </c>
      <c r="E193">
        <v>0.125</v>
      </c>
      <c r="F193">
        <v>14</v>
      </c>
      <c r="G193">
        <v>3</v>
      </c>
      <c r="H193">
        <v>2022</v>
      </c>
      <c r="I193" t="s">
        <v>268</v>
      </c>
      <c r="J193" t="str">
        <f t="shared" si="4"/>
        <v>Preliminary</v>
      </c>
      <c r="K193">
        <f t="shared" si="5"/>
        <v>0</v>
      </c>
    </row>
    <row r="194" spans="1:11">
      <c r="A194" t="s">
        <v>57</v>
      </c>
      <c r="B194" t="s">
        <v>58</v>
      </c>
      <c r="C194" t="s">
        <v>20</v>
      </c>
      <c r="D194" t="s">
        <v>13</v>
      </c>
      <c r="E194">
        <v>0.125</v>
      </c>
      <c r="F194">
        <v>55</v>
      </c>
      <c r="G194">
        <v>1</v>
      </c>
      <c r="H194">
        <v>2022</v>
      </c>
      <c r="I194" t="s">
        <v>273</v>
      </c>
      <c r="J194" t="str">
        <f t="shared" si="4"/>
        <v>Preliminary</v>
      </c>
      <c r="K194">
        <f t="shared" si="5"/>
        <v>1</v>
      </c>
    </row>
    <row r="195" spans="1:11">
      <c r="A195" t="s">
        <v>274</v>
      </c>
      <c r="B195" t="s">
        <v>275</v>
      </c>
      <c r="C195" t="s">
        <v>20</v>
      </c>
      <c r="D195" t="s">
        <v>17</v>
      </c>
      <c r="E195">
        <v>0.125</v>
      </c>
      <c r="F195">
        <v>33</v>
      </c>
      <c r="G195">
        <v>2</v>
      </c>
      <c r="H195">
        <v>2022</v>
      </c>
      <c r="I195" t="s">
        <v>273</v>
      </c>
      <c r="J195" t="str">
        <f t="shared" ref="J195:J258" si="6">IF(E195=1,"Final",IF(E195=0.5,"Semifinal",IF(E195=0.25,"Quarterfinal",IF(E195=0.125,"Preliminary","Unknown"))))</f>
        <v>Preliminary</v>
      </c>
      <c r="K195">
        <f t="shared" ref="K195:K258" si="7">IF(G195=1,1,0)</f>
        <v>0</v>
      </c>
    </row>
    <row r="196" spans="1:11">
      <c r="A196" t="s">
        <v>104</v>
      </c>
      <c r="B196" t="s">
        <v>105</v>
      </c>
      <c r="C196" t="s">
        <v>12</v>
      </c>
      <c r="D196" t="s">
        <v>17</v>
      </c>
      <c r="E196">
        <v>0.125</v>
      </c>
      <c r="F196">
        <v>19</v>
      </c>
      <c r="G196">
        <v>3</v>
      </c>
      <c r="H196">
        <v>2022</v>
      </c>
      <c r="I196" t="s">
        <v>273</v>
      </c>
      <c r="J196" t="str">
        <f t="shared" si="6"/>
        <v>Preliminary</v>
      </c>
      <c r="K196">
        <f t="shared" si="7"/>
        <v>0</v>
      </c>
    </row>
    <row r="197" spans="1:11">
      <c r="A197" t="s">
        <v>147</v>
      </c>
      <c r="B197" t="s">
        <v>148</v>
      </c>
      <c r="C197" t="s">
        <v>24</v>
      </c>
      <c r="D197" t="s">
        <v>17</v>
      </c>
      <c r="E197">
        <v>0.125</v>
      </c>
      <c r="F197">
        <v>31</v>
      </c>
      <c r="G197">
        <v>1</v>
      </c>
      <c r="H197">
        <v>2022</v>
      </c>
      <c r="I197" t="s">
        <v>276</v>
      </c>
      <c r="J197" t="str">
        <f t="shared" si="6"/>
        <v>Preliminary</v>
      </c>
      <c r="K197">
        <f t="shared" si="7"/>
        <v>1</v>
      </c>
    </row>
    <row r="198" spans="1:11">
      <c r="A198" t="s">
        <v>120</v>
      </c>
      <c r="B198" t="s">
        <v>121</v>
      </c>
      <c r="C198" t="s">
        <v>20</v>
      </c>
      <c r="D198" t="s">
        <v>17</v>
      </c>
      <c r="E198">
        <v>0.125</v>
      </c>
      <c r="F198">
        <v>30</v>
      </c>
      <c r="G198">
        <v>2</v>
      </c>
      <c r="H198">
        <v>2022</v>
      </c>
      <c r="I198" t="s">
        <v>276</v>
      </c>
      <c r="J198" t="str">
        <f t="shared" si="6"/>
        <v>Preliminary</v>
      </c>
      <c r="K198">
        <f t="shared" si="7"/>
        <v>0</v>
      </c>
    </row>
    <row r="199" spans="1:11">
      <c r="A199" t="s">
        <v>277</v>
      </c>
      <c r="B199" t="s">
        <v>278</v>
      </c>
      <c r="C199" t="s">
        <v>118</v>
      </c>
      <c r="D199" t="s">
        <v>17</v>
      </c>
      <c r="E199">
        <v>0.125</v>
      </c>
      <c r="F199">
        <v>15</v>
      </c>
      <c r="G199">
        <v>3</v>
      </c>
      <c r="H199">
        <v>2022</v>
      </c>
      <c r="I199" t="s">
        <v>276</v>
      </c>
      <c r="J199" t="str">
        <f t="shared" si="6"/>
        <v>Preliminary</v>
      </c>
      <c r="K199">
        <f t="shared" si="7"/>
        <v>0</v>
      </c>
    </row>
    <row r="200" spans="1:11">
      <c r="A200" t="s">
        <v>35</v>
      </c>
      <c r="B200" t="s">
        <v>36</v>
      </c>
      <c r="C200" t="s">
        <v>20</v>
      </c>
      <c r="D200" t="s">
        <v>13</v>
      </c>
      <c r="E200">
        <v>0.125</v>
      </c>
      <c r="F200">
        <v>46</v>
      </c>
      <c r="G200">
        <v>1</v>
      </c>
      <c r="H200">
        <v>2022</v>
      </c>
      <c r="I200" t="s">
        <v>279</v>
      </c>
      <c r="J200" t="str">
        <f t="shared" si="6"/>
        <v>Preliminary</v>
      </c>
      <c r="K200">
        <f t="shared" si="7"/>
        <v>1</v>
      </c>
    </row>
    <row r="201" spans="1:11">
      <c r="A201" t="s">
        <v>178</v>
      </c>
      <c r="B201" t="s">
        <v>179</v>
      </c>
      <c r="C201" t="s">
        <v>12</v>
      </c>
      <c r="D201" t="s">
        <v>13</v>
      </c>
      <c r="E201">
        <v>0.125</v>
      </c>
      <c r="F201">
        <v>40</v>
      </c>
      <c r="G201">
        <v>2</v>
      </c>
      <c r="H201">
        <v>2022</v>
      </c>
      <c r="I201" t="s">
        <v>279</v>
      </c>
      <c r="J201" t="str">
        <f t="shared" si="6"/>
        <v>Preliminary</v>
      </c>
      <c r="K201">
        <f t="shared" si="7"/>
        <v>0</v>
      </c>
    </row>
    <row r="202" spans="1:11">
      <c r="A202" t="s">
        <v>280</v>
      </c>
      <c r="B202" t="s">
        <v>281</v>
      </c>
      <c r="C202" t="s">
        <v>39</v>
      </c>
      <c r="D202" t="s">
        <v>17</v>
      </c>
      <c r="E202">
        <v>0.125</v>
      </c>
      <c r="F202">
        <v>25</v>
      </c>
      <c r="G202">
        <v>3</v>
      </c>
      <c r="H202">
        <v>2022</v>
      </c>
      <c r="I202" t="s">
        <v>279</v>
      </c>
      <c r="J202" t="str">
        <f t="shared" si="6"/>
        <v>Preliminary</v>
      </c>
      <c r="K202">
        <f t="shared" si="7"/>
        <v>0</v>
      </c>
    </row>
    <row r="203" spans="1:11">
      <c r="A203" t="s">
        <v>72</v>
      </c>
      <c r="B203" t="s">
        <v>73</v>
      </c>
      <c r="C203" t="s">
        <v>74</v>
      </c>
      <c r="D203" t="s">
        <v>13</v>
      </c>
      <c r="E203">
        <v>0.125</v>
      </c>
      <c r="F203">
        <v>49</v>
      </c>
      <c r="G203">
        <v>1</v>
      </c>
      <c r="H203">
        <v>2022</v>
      </c>
      <c r="I203" t="s">
        <v>282</v>
      </c>
      <c r="J203" t="str">
        <f t="shared" si="6"/>
        <v>Preliminary</v>
      </c>
      <c r="K203">
        <f t="shared" si="7"/>
        <v>1</v>
      </c>
    </row>
    <row r="204" spans="1:11">
      <c r="A204" t="s">
        <v>197</v>
      </c>
      <c r="B204" t="s">
        <v>198</v>
      </c>
      <c r="C204" t="s">
        <v>39</v>
      </c>
      <c r="D204" t="s">
        <v>13</v>
      </c>
      <c r="E204">
        <v>0.125</v>
      </c>
      <c r="F204">
        <v>45</v>
      </c>
      <c r="G204">
        <v>2</v>
      </c>
      <c r="H204">
        <v>2022</v>
      </c>
      <c r="I204" t="s">
        <v>282</v>
      </c>
      <c r="J204" t="str">
        <f t="shared" si="6"/>
        <v>Preliminary</v>
      </c>
      <c r="K204">
        <f t="shared" si="7"/>
        <v>0</v>
      </c>
    </row>
    <row r="205" spans="1:11">
      <c r="A205" t="s">
        <v>283</v>
      </c>
      <c r="B205" t="s">
        <v>284</v>
      </c>
      <c r="C205" t="s">
        <v>74</v>
      </c>
      <c r="D205" t="s">
        <v>17</v>
      </c>
      <c r="E205">
        <v>0.125</v>
      </c>
      <c r="F205">
        <v>8</v>
      </c>
      <c r="G205">
        <v>3</v>
      </c>
      <c r="H205">
        <v>2022</v>
      </c>
      <c r="I205" t="s">
        <v>282</v>
      </c>
      <c r="J205" t="str">
        <f t="shared" si="6"/>
        <v>Preliminary</v>
      </c>
      <c r="K205">
        <f t="shared" si="7"/>
        <v>0</v>
      </c>
    </row>
    <row r="206" spans="1:11">
      <c r="A206" t="s">
        <v>172</v>
      </c>
      <c r="B206" t="s">
        <v>173</v>
      </c>
      <c r="C206" t="s">
        <v>39</v>
      </c>
      <c r="D206" t="s">
        <v>17</v>
      </c>
      <c r="E206">
        <v>0.125</v>
      </c>
      <c r="F206">
        <v>31</v>
      </c>
      <c r="G206">
        <v>1</v>
      </c>
      <c r="H206">
        <v>2022</v>
      </c>
      <c r="I206" t="s">
        <v>285</v>
      </c>
      <c r="J206" t="str">
        <f t="shared" si="6"/>
        <v>Preliminary</v>
      </c>
      <c r="K206">
        <f t="shared" si="7"/>
        <v>1</v>
      </c>
    </row>
    <row r="207" spans="1:11">
      <c r="A207" t="s">
        <v>286</v>
      </c>
      <c r="B207" t="s">
        <v>287</v>
      </c>
      <c r="C207" t="s">
        <v>20</v>
      </c>
      <c r="D207" t="s">
        <v>17</v>
      </c>
      <c r="E207">
        <v>0.125</v>
      </c>
      <c r="F207">
        <v>29</v>
      </c>
      <c r="G207">
        <v>2</v>
      </c>
      <c r="H207">
        <v>2022</v>
      </c>
      <c r="I207" t="s">
        <v>285</v>
      </c>
      <c r="J207" t="str">
        <f t="shared" si="6"/>
        <v>Preliminary</v>
      </c>
      <c r="K207">
        <f t="shared" si="7"/>
        <v>0</v>
      </c>
    </row>
    <row r="208" spans="1:11">
      <c r="A208" t="s">
        <v>288</v>
      </c>
      <c r="B208" t="s">
        <v>289</v>
      </c>
      <c r="C208" t="s">
        <v>20</v>
      </c>
      <c r="D208" t="s">
        <v>17</v>
      </c>
      <c r="E208">
        <v>0.125</v>
      </c>
      <c r="F208">
        <v>25</v>
      </c>
      <c r="G208">
        <v>3</v>
      </c>
      <c r="H208">
        <v>2022</v>
      </c>
      <c r="I208" t="s">
        <v>285</v>
      </c>
      <c r="J208" t="str">
        <f t="shared" si="6"/>
        <v>Preliminary</v>
      </c>
      <c r="K208">
        <f t="shared" si="7"/>
        <v>0</v>
      </c>
    </row>
    <row r="209" spans="1:11">
      <c r="A209" t="s">
        <v>86</v>
      </c>
      <c r="B209" t="s">
        <v>87</v>
      </c>
      <c r="C209" t="s">
        <v>20</v>
      </c>
      <c r="D209" t="s">
        <v>17</v>
      </c>
      <c r="E209">
        <v>0.125</v>
      </c>
      <c r="F209">
        <v>22</v>
      </c>
      <c r="G209">
        <v>1</v>
      </c>
      <c r="H209">
        <v>2022</v>
      </c>
      <c r="I209" t="s">
        <v>290</v>
      </c>
      <c r="J209" t="str">
        <f t="shared" si="6"/>
        <v>Preliminary</v>
      </c>
      <c r="K209">
        <f t="shared" si="7"/>
        <v>1</v>
      </c>
    </row>
    <row r="210" spans="1:11">
      <c r="A210" t="s">
        <v>222</v>
      </c>
      <c r="B210" t="s">
        <v>223</v>
      </c>
      <c r="C210" t="s">
        <v>20</v>
      </c>
      <c r="D210" t="s">
        <v>17</v>
      </c>
      <c r="E210">
        <v>0.125</v>
      </c>
      <c r="F210">
        <v>17</v>
      </c>
      <c r="G210">
        <v>2</v>
      </c>
      <c r="H210">
        <v>2022</v>
      </c>
      <c r="I210" t="s">
        <v>290</v>
      </c>
      <c r="J210" t="str">
        <f t="shared" si="6"/>
        <v>Preliminary</v>
      </c>
      <c r="K210">
        <f t="shared" si="7"/>
        <v>0</v>
      </c>
    </row>
    <row r="211" spans="1:11">
      <c r="A211" t="s">
        <v>291</v>
      </c>
      <c r="B211" t="s">
        <v>292</v>
      </c>
      <c r="C211" t="s">
        <v>12</v>
      </c>
      <c r="D211" t="s">
        <v>31</v>
      </c>
      <c r="E211">
        <v>0.125</v>
      </c>
      <c r="F211">
        <v>17</v>
      </c>
      <c r="G211">
        <v>3</v>
      </c>
      <c r="H211">
        <v>2022</v>
      </c>
      <c r="I211" t="s">
        <v>290</v>
      </c>
      <c r="J211" t="str">
        <f t="shared" si="6"/>
        <v>Preliminary</v>
      </c>
      <c r="K211">
        <f t="shared" si="7"/>
        <v>0</v>
      </c>
    </row>
    <row r="212" spans="1:11">
      <c r="A212" t="s">
        <v>52</v>
      </c>
      <c r="B212" t="s">
        <v>53</v>
      </c>
      <c r="C212" t="s">
        <v>20</v>
      </c>
      <c r="D212" t="s">
        <v>13</v>
      </c>
      <c r="E212">
        <v>0.125</v>
      </c>
      <c r="F212">
        <v>48</v>
      </c>
      <c r="G212">
        <v>1</v>
      </c>
      <c r="H212">
        <v>2022</v>
      </c>
      <c r="I212" t="s">
        <v>293</v>
      </c>
      <c r="J212" t="str">
        <f t="shared" si="6"/>
        <v>Preliminary</v>
      </c>
      <c r="K212">
        <f t="shared" si="7"/>
        <v>1</v>
      </c>
    </row>
    <row r="213" spans="1:11">
      <c r="A213" t="s">
        <v>181</v>
      </c>
      <c r="B213" t="s">
        <v>182</v>
      </c>
      <c r="C213" t="s">
        <v>20</v>
      </c>
      <c r="D213" t="s">
        <v>17</v>
      </c>
      <c r="E213">
        <v>0.125</v>
      </c>
      <c r="F213">
        <v>41</v>
      </c>
      <c r="G213">
        <v>2</v>
      </c>
      <c r="H213">
        <v>2022</v>
      </c>
      <c r="I213" t="s">
        <v>293</v>
      </c>
      <c r="J213" t="str">
        <f t="shared" si="6"/>
        <v>Preliminary</v>
      </c>
      <c r="K213">
        <f t="shared" si="7"/>
        <v>0</v>
      </c>
    </row>
    <row r="214" spans="1:11">
      <c r="A214" t="s">
        <v>132</v>
      </c>
      <c r="B214" t="s">
        <v>133</v>
      </c>
      <c r="C214" t="s">
        <v>39</v>
      </c>
      <c r="D214" t="s">
        <v>31</v>
      </c>
      <c r="E214">
        <v>0.125</v>
      </c>
      <c r="F214">
        <v>24</v>
      </c>
      <c r="G214">
        <v>3</v>
      </c>
      <c r="H214">
        <v>2022</v>
      </c>
      <c r="I214" t="s">
        <v>293</v>
      </c>
      <c r="J214" t="str">
        <f t="shared" si="6"/>
        <v>Preliminary</v>
      </c>
      <c r="K214">
        <f t="shared" si="7"/>
        <v>0</v>
      </c>
    </row>
    <row r="215" spans="1:11">
      <c r="A215" t="s">
        <v>116</v>
      </c>
      <c r="B215" t="s">
        <v>117</v>
      </c>
      <c r="C215" t="s">
        <v>118</v>
      </c>
      <c r="D215" t="s">
        <v>13</v>
      </c>
      <c r="E215">
        <v>0.125</v>
      </c>
      <c r="F215">
        <v>38</v>
      </c>
      <c r="G215">
        <v>1</v>
      </c>
      <c r="H215">
        <v>2022</v>
      </c>
      <c r="I215" t="s">
        <v>294</v>
      </c>
      <c r="J215" t="str">
        <f t="shared" si="6"/>
        <v>Preliminary</v>
      </c>
      <c r="K215">
        <f t="shared" si="7"/>
        <v>1</v>
      </c>
    </row>
    <row r="216" spans="1:11">
      <c r="A216" t="s">
        <v>295</v>
      </c>
      <c r="B216" t="s">
        <v>296</v>
      </c>
      <c r="C216" t="s">
        <v>24</v>
      </c>
      <c r="D216" t="s">
        <v>17</v>
      </c>
      <c r="E216">
        <v>0.125</v>
      </c>
      <c r="F216">
        <v>35</v>
      </c>
      <c r="G216">
        <v>2</v>
      </c>
      <c r="H216">
        <v>2022</v>
      </c>
      <c r="I216" t="s">
        <v>294</v>
      </c>
      <c r="J216" t="str">
        <f t="shared" si="6"/>
        <v>Preliminary</v>
      </c>
      <c r="K216">
        <f t="shared" si="7"/>
        <v>0</v>
      </c>
    </row>
    <row r="217" spans="1:11">
      <c r="A217" t="s">
        <v>297</v>
      </c>
      <c r="B217" t="s">
        <v>298</v>
      </c>
      <c r="C217" t="s">
        <v>39</v>
      </c>
      <c r="D217" t="s">
        <v>17</v>
      </c>
      <c r="E217">
        <v>0.125</v>
      </c>
      <c r="F217">
        <v>31</v>
      </c>
      <c r="G217">
        <v>3</v>
      </c>
      <c r="H217">
        <v>2022</v>
      </c>
      <c r="I217" t="s">
        <v>294</v>
      </c>
      <c r="J217" t="str">
        <f t="shared" si="6"/>
        <v>Preliminary</v>
      </c>
      <c r="K217">
        <f t="shared" si="7"/>
        <v>0</v>
      </c>
    </row>
    <row r="218" spans="1:11">
      <c r="A218" t="s">
        <v>54</v>
      </c>
      <c r="B218" t="s">
        <v>55</v>
      </c>
      <c r="C218" t="s">
        <v>20</v>
      </c>
      <c r="D218" t="s">
        <v>17</v>
      </c>
      <c r="E218">
        <v>0.125</v>
      </c>
      <c r="F218">
        <v>38</v>
      </c>
      <c r="G218">
        <v>1</v>
      </c>
      <c r="H218">
        <v>2022</v>
      </c>
      <c r="I218" t="s">
        <v>299</v>
      </c>
      <c r="J218" t="str">
        <f t="shared" si="6"/>
        <v>Preliminary</v>
      </c>
      <c r="K218">
        <f t="shared" si="7"/>
        <v>1</v>
      </c>
    </row>
    <row r="219" spans="1:11">
      <c r="A219" t="s">
        <v>300</v>
      </c>
      <c r="B219" t="s">
        <v>301</v>
      </c>
      <c r="C219" t="s">
        <v>20</v>
      </c>
      <c r="D219" t="s">
        <v>31</v>
      </c>
      <c r="E219">
        <v>0.125</v>
      </c>
      <c r="F219">
        <v>24</v>
      </c>
      <c r="G219">
        <v>2</v>
      </c>
      <c r="H219">
        <v>2022</v>
      </c>
      <c r="I219" t="s">
        <v>299</v>
      </c>
      <c r="J219" t="str">
        <f t="shared" si="6"/>
        <v>Preliminary</v>
      </c>
      <c r="K219">
        <f t="shared" si="7"/>
        <v>0</v>
      </c>
    </row>
    <row r="220" spans="1:11">
      <c r="A220" t="s">
        <v>302</v>
      </c>
      <c r="B220" t="s">
        <v>303</v>
      </c>
      <c r="C220" t="s">
        <v>195</v>
      </c>
      <c r="D220" t="s">
        <v>17</v>
      </c>
      <c r="E220">
        <v>0.125</v>
      </c>
      <c r="F220">
        <v>3</v>
      </c>
      <c r="G220">
        <v>3</v>
      </c>
      <c r="H220">
        <v>2022</v>
      </c>
      <c r="I220" t="s">
        <v>299</v>
      </c>
      <c r="J220" t="str">
        <f t="shared" si="6"/>
        <v>Preliminary</v>
      </c>
      <c r="K220">
        <f t="shared" si="7"/>
        <v>0</v>
      </c>
    </row>
    <row r="221" spans="1:11">
      <c r="A221" t="s">
        <v>91</v>
      </c>
      <c r="B221" t="s">
        <v>92</v>
      </c>
      <c r="C221" t="s">
        <v>12</v>
      </c>
      <c r="D221" t="s">
        <v>17</v>
      </c>
      <c r="E221">
        <v>0.125</v>
      </c>
      <c r="F221">
        <v>28</v>
      </c>
      <c r="G221">
        <v>1</v>
      </c>
      <c r="H221">
        <v>2022</v>
      </c>
      <c r="I221" t="s">
        <v>304</v>
      </c>
      <c r="J221" t="str">
        <f t="shared" si="6"/>
        <v>Preliminary</v>
      </c>
      <c r="K221">
        <f t="shared" si="7"/>
        <v>1</v>
      </c>
    </row>
    <row r="222" spans="1:11">
      <c r="A222" t="s">
        <v>32</v>
      </c>
      <c r="B222" t="s">
        <v>33</v>
      </c>
      <c r="C222" t="s">
        <v>20</v>
      </c>
      <c r="D222" t="s">
        <v>31</v>
      </c>
      <c r="E222">
        <v>0.125</v>
      </c>
      <c r="F222">
        <v>21</v>
      </c>
      <c r="G222">
        <v>2</v>
      </c>
      <c r="H222">
        <v>2022</v>
      </c>
      <c r="I222" t="s">
        <v>304</v>
      </c>
      <c r="J222" t="str">
        <f t="shared" si="6"/>
        <v>Preliminary</v>
      </c>
      <c r="K222">
        <f t="shared" si="7"/>
        <v>0</v>
      </c>
    </row>
    <row r="223" spans="1:11">
      <c r="A223" t="s">
        <v>114</v>
      </c>
      <c r="B223" t="s">
        <v>115</v>
      </c>
      <c r="C223" t="s">
        <v>12</v>
      </c>
      <c r="D223" t="s">
        <v>17</v>
      </c>
      <c r="E223">
        <v>0.125</v>
      </c>
      <c r="F223">
        <v>21</v>
      </c>
      <c r="G223">
        <v>3</v>
      </c>
      <c r="H223">
        <v>2022</v>
      </c>
      <c r="I223" t="s">
        <v>304</v>
      </c>
      <c r="J223" t="str">
        <f t="shared" si="6"/>
        <v>Preliminary</v>
      </c>
      <c r="K223">
        <f t="shared" si="7"/>
        <v>0</v>
      </c>
    </row>
    <row r="224" spans="1:11">
      <c r="A224" t="s">
        <v>43</v>
      </c>
      <c r="B224" t="s">
        <v>44</v>
      </c>
      <c r="C224" t="s">
        <v>39</v>
      </c>
      <c r="D224" t="s">
        <v>17</v>
      </c>
      <c r="E224">
        <v>0.125</v>
      </c>
      <c r="F224">
        <v>50</v>
      </c>
      <c r="G224">
        <v>1</v>
      </c>
      <c r="H224">
        <v>2022</v>
      </c>
      <c r="I224" t="s">
        <v>305</v>
      </c>
      <c r="J224" t="str">
        <f t="shared" si="6"/>
        <v>Preliminary</v>
      </c>
      <c r="K224">
        <f t="shared" si="7"/>
        <v>1</v>
      </c>
    </row>
    <row r="225" spans="1:11">
      <c r="A225" t="s">
        <v>306</v>
      </c>
      <c r="B225" t="s">
        <v>307</v>
      </c>
      <c r="C225" t="s">
        <v>27</v>
      </c>
      <c r="D225" t="s">
        <v>17</v>
      </c>
      <c r="E225">
        <v>0.125</v>
      </c>
      <c r="F225">
        <v>28</v>
      </c>
      <c r="G225">
        <v>2</v>
      </c>
      <c r="H225">
        <v>2022</v>
      </c>
      <c r="I225" t="s">
        <v>305</v>
      </c>
      <c r="J225" t="str">
        <f t="shared" si="6"/>
        <v>Preliminary</v>
      </c>
      <c r="K225">
        <f t="shared" si="7"/>
        <v>0</v>
      </c>
    </row>
    <row r="226" spans="1:11">
      <c r="A226" t="s">
        <v>224</v>
      </c>
      <c r="B226" t="s">
        <v>225</v>
      </c>
      <c r="C226" t="s">
        <v>20</v>
      </c>
      <c r="D226" t="s">
        <v>31</v>
      </c>
      <c r="E226">
        <v>0.125</v>
      </c>
      <c r="F226">
        <v>2</v>
      </c>
      <c r="G226">
        <v>3</v>
      </c>
      <c r="H226">
        <v>2022</v>
      </c>
      <c r="I226" t="s">
        <v>305</v>
      </c>
      <c r="J226" t="str">
        <f t="shared" si="6"/>
        <v>Preliminary</v>
      </c>
      <c r="K226">
        <f t="shared" si="7"/>
        <v>0</v>
      </c>
    </row>
    <row r="227" spans="1:11">
      <c r="A227" t="s">
        <v>207</v>
      </c>
      <c r="B227" t="s">
        <v>208</v>
      </c>
      <c r="C227" t="s">
        <v>20</v>
      </c>
      <c r="D227" t="s">
        <v>13</v>
      </c>
      <c r="E227">
        <v>0.125</v>
      </c>
      <c r="F227">
        <v>30</v>
      </c>
      <c r="G227">
        <v>1</v>
      </c>
      <c r="H227">
        <v>2022</v>
      </c>
      <c r="I227" t="s">
        <v>308</v>
      </c>
      <c r="J227" t="str">
        <f t="shared" si="6"/>
        <v>Preliminary</v>
      </c>
      <c r="K227">
        <f t="shared" si="7"/>
        <v>1</v>
      </c>
    </row>
    <row r="228" spans="1:11">
      <c r="A228" t="s">
        <v>130</v>
      </c>
      <c r="B228" t="s">
        <v>131</v>
      </c>
      <c r="C228" t="s">
        <v>12</v>
      </c>
      <c r="D228" t="s">
        <v>17</v>
      </c>
      <c r="E228">
        <v>0.125</v>
      </c>
      <c r="F228">
        <v>25</v>
      </c>
      <c r="G228">
        <v>2</v>
      </c>
      <c r="H228">
        <v>2022</v>
      </c>
      <c r="I228" t="s">
        <v>308</v>
      </c>
      <c r="J228" t="str">
        <f t="shared" si="6"/>
        <v>Preliminary</v>
      </c>
      <c r="K228">
        <f t="shared" si="7"/>
        <v>0</v>
      </c>
    </row>
    <row r="229" spans="1:11">
      <c r="A229" t="s">
        <v>309</v>
      </c>
      <c r="B229" t="s">
        <v>310</v>
      </c>
      <c r="C229" t="s">
        <v>27</v>
      </c>
      <c r="D229" t="s">
        <v>17</v>
      </c>
      <c r="E229">
        <v>0.125</v>
      </c>
      <c r="F229">
        <v>13</v>
      </c>
      <c r="G229">
        <v>3</v>
      </c>
      <c r="H229">
        <v>2022</v>
      </c>
      <c r="I229" t="s">
        <v>308</v>
      </c>
      <c r="J229" t="str">
        <f t="shared" si="6"/>
        <v>Preliminary</v>
      </c>
      <c r="K229">
        <f t="shared" si="7"/>
        <v>0</v>
      </c>
    </row>
    <row r="230" spans="1:11">
      <c r="A230" t="s">
        <v>78</v>
      </c>
      <c r="B230" t="s">
        <v>79</v>
      </c>
      <c r="C230" t="s">
        <v>80</v>
      </c>
      <c r="D230" t="s">
        <v>17</v>
      </c>
      <c r="E230">
        <v>0.125</v>
      </c>
      <c r="F230">
        <v>34</v>
      </c>
      <c r="G230">
        <v>1</v>
      </c>
      <c r="H230">
        <v>2022</v>
      </c>
      <c r="I230" t="s">
        <v>311</v>
      </c>
      <c r="J230" t="str">
        <f t="shared" si="6"/>
        <v>Preliminary</v>
      </c>
      <c r="K230">
        <f t="shared" si="7"/>
        <v>1</v>
      </c>
    </row>
    <row r="231" spans="1:11">
      <c r="A231" t="s">
        <v>312</v>
      </c>
      <c r="B231" t="s">
        <v>313</v>
      </c>
      <c r="C231" t="s">
        <v>20</v>
      </c>
      <c r="D231" t="s">
        <v>17</v>
      </c>
      <c r="E231">
        <v>0.125</v>
      </c>
      <c r="F231">
        <v>31</v>
      </c>
      <c r="G231">
        <v>2</v>
      </c>
      <c r="H231">
        <v>2022</v>
      </c>
      <c r="I231" t="s">
        <v>311</v>
      </c>
      <c r="J231" t="str">
        <f t="shared" si="6"/>
        <v>Preliminary</v>
      </c>
      <c r="K231">
        <f t="shared" si="7"/>
        <v>0</v>
      </c>
    </row>
    <row r="232" spans="1:11">
      <c r="A232" t="s">
        <v>314</v>
      </c>
      <c r="B232" t="s">
        <v>315</v>
      </c>
      <c r="C232" t="s">
        <v>20</v>
      </c>
      <c r="D232" t="s">
        <v>17</v>
      </c>
      <c r="E232">
        <v>0.125</v>
      </c>
      <c r="F232">
        <v>10</v>
      </c>
      <c r="G232">
        <v>3</v>
      </c>
      <c r="H232">
        <v>2022</v>
      </c>
      <c r="I232" t="s">
        <v>311</v>
      </c>
      <c r="J232" t="str">
        <f t="shared" si="6"/>
        <v>Preliminary</v>
      </c>
      <c r="K232">
        <f t="shared" si="7"/>
        <v>0</v>
      </c>
    </row>
    <row r="233" spans="1:11">
      <c r="A233" t="s">
        <v>41</v>
      </c>
      <c r="B233" t="s">
        <v>42</v>
      </c>
      <c r="C233" t="s">
        <v>27</v>
      </c>
      <c r="D233" t="s">
        <v>17</v>
      </c>
      <c r="E233">
        <v>0.125</v>
      </c>
      <c r="F233">
        <v>53</v>
      </c>
      <c r="G233">
        <v>1</v>
      </c>
      <c r="H233">
        <v>2022</v>
      </c>
      <c r="I233" t="s">
        <v>316</v>
      </c>
      <c r="J233" t="str">
        <f t="shared" si="6"/>
        <v>Preliminary</v>
      </c>
      <c r="K233">
        <f t="shared" si="7"/>
        <v>1</v>
      </c>
    </row>
    <row r="234" spans="1:11">
      <c r="A234" t="s">
        <v>29</v>
      </c>
      <c r="B234" t="s">
        <v>30</v>
      </c>
      <c r="C234" t="s">
        <v>24</v>
      </c>
      <c r="D234" t="s">
        <v>31</v>
      </c>
      <c r="E234">
        <v>0.125</v>
      </c>
      <c r="F234">
        <v>29</v>
      </c>
      <c r="G234">
        <v>2</v>
      </c>
      <c r="H234">
        <v>2022</v>
      </c>
      <c r="I234" t="s">
        <v>316</v>
      </c>
      <c r="J234" t="str">
        <f t="shared" si="6"/>
        <v>Preliminary</v>
      </c>
      <c r="K234">
        <f t="shared" si="7"/>
        <v>0</v>
      </c>
    </row>
    <row r="235" spans="1:11">
      <c r="A235" t="s">
        <v>219</v>
      </c>
      <c r="B235" t="s">
        <v>220</v>
      </c>
      <c r="C235" t="s">
        <v>27</v>
      </c>
      <c r="D235" t="s">
        <v>17</v>
      </c>
      <c r="E235">
        <v>0.125</v>
      </c>
      <c r="F235">
        <v>18</v>
      </c>
      <c r="G235">
        <v>3</v>
      </c>
      <c r="H235">
        <v>2022</v>
      </c>
      <c r="I235" t="s">
        <v>316</v>
      </c>
      <c r="J235" t="str">
        <f t="shared" si="6"/>
        <v>Preliminary</v>
      </c>
      <c r="K235">
        <f t="shared" si="7"/>
        <v>0</v>
      </c>
    </row>
    <row r="236" spans="1:11">
      <c r="A236" t="s">
        <v>22</v>
      </c>
      <c r="B236" t="s">
        <v>23</v>
      </c>
      <c r="C236" t="s">
        <v>24</v>
      </c>
      <c r="D236" t="s">
        <v>13</v>
      </c>
      <c r="E236">
        <v>0.125</v>
      </c>
      <c r="F236">
        <v>39</v>
      </c>
      <c r="G236">
        <v>1</v>
      </c>
      <c r="H236">
        <v>2022</v>
      </c>
      <c r="I236" t="s">
        <v>317</v>
      </c>
      <c r="J236" t="str">
        <f t="shared" si="6"/>
        <v>Preliminary</v>
      </c>
      <c r="K236">
        <f t="shared" si="7"/>
        <v>1</v>
      </c>
    </row>
    <row r="237" spans="1:11">
      <c r="A237" t="s">
        <v>318</v>
      </c>
      <c r="B237" t="s">
        <v>319</v>
      </c>
      <c r="C237" t="s">
        <v>39</v>
      </c>
      <c r="D237" t="s">
        <v>17</v>
      </c>
      <c r="E237">
        <v>0.125</v>
      </c>
      <c r="F237">
        <v>38</v>
      </c>
      <c r="G237">
        <v>2</v>
      </c>
      <c r="H237">
        <v>2022</v>
      </c>
      <c r="I237" t="s">
        <v>317</v>
      </c>
      <c r="J237" t="str">
        <f t="shared" si="6"/>
        <v>Preliminary</v>
      </c>
      <c r="K237">
        <f t="shared" si="7"/>
        <v>0</v>
      </c>
    </row>
    <row r="238" spans="1:11">
      <c r="A238" t="s">
        <v>320</v>
      </c>
      <c r="B238" t="s">
        <v>321</v>
      </c>
      <c r="C238" t="s">
        <v>177</v>
      </c>
      <c r="D238" t="s">
        <v>17</v>
      </c>
      <c r="E238">
        <v>0.125</v>
      </c>
      <c r="F238">
        <v>27</v>
      </c>
      <c r="G238">
        <v>3</v>
      </c>
      <c r="H238">
        <v>2022</v>
      </c>
      <c r="I238" t="s">
        <v>317</v>
      </c>
      <c r="J238" t="str">
        <f t="shared" si="6"/>
        <v>Preliminary</v>
      </c>
      <c r="K238">
        <f t="shared" si="7"/>
        <v>0</v>
      </c>
    </row>
    <row r="239" spans="1:11">
      <c r="A239" t="s">
        <v>75</v>
      </c>
      <c r="B239" t="s">
        <v>76</v>
      </c>
      <c r="C239" t="s">
        <v>39</v>
      </c>
      <c r="D239" t="s">
        <v>17</v>
      </c>
      <c r="E239">
        <v>0.125</v>
      </c>
      <c r="F239">
        <v>47</v>
      </c>
      <c r="G239">
        <v>1</v>
      </c>
      <c r="H239">
        <v>2022</v>
      </c>
      <c r="I239" t="s">
        <v>322</v>
      </c>
      <c r="J239" t="str">
        <f t="shared" si="6"/>
        <v>Preliminary</v>
      </c>
      <c r="K239">
        <f t="shared" si="7"/>
        <v>1</v>
      </c>
    </row>
    <row r="240" spans="1:11">
      <c r="A240" t="s">
        <v>62</v>
      </c>
      <c r="B240" t="s">
        <v>63</v>
      </c>
      <c r="C240" t="s">
        <v>20</v>
      </c>
      <c r="D240" t="s">
        <v>17</v>
      </c>
      <c r="E240">
        <v>0.125</v>
      </c>
      <c r="F240">
        <v>27</v>
      </c>
      <c r="G240">
        <v>2</v>
      </c>
      <c r="H240">
        <v>2022</v>
      </c>
      <c r="I240" t="s">
        <v>322</v>
      </c>
      <c r="J240" t="str">
        <f t="shared" si="6"/>
        <v>Preliminary</v>
      </c>
      <c r="K240">
        <f t="shared" si="7"/>
        <v>0</v>
      </c>
    </row>
    <row r="241" spans="1:11">
      <c r="A241" t="s">
        <v>323</v>
      </c>
      <c r="B241" t="s">
        <v>324</v>
      </c>
      <c r="C241" t="s">
        <v>39</v>
      </c>
      <c r="D241" t="s">
        <v>17</v>
      </c>
      <c r="E241">
        <v>0.125</v>
      </c>
      <c r="F241">
        <v>25</v>
      </c>
      <c r="G241">
        <v>3</v>
      </c>
      <c r="H241">
        <v>2022</v>
      </c>
      <c r="I241" t="s">
        <v>322</v>
      </c>
      <c r="J241" t="str">
        <f t="shared" si="6"/>
        <v>Preliminary</v>
      </c>
      <c r="K241">
        <f t="shared" si="7"/>
        <v>0</v>
      </c>
    </row>
    <row r="242" spans="1:11">
      <c r="A242" t="s">
        <v>35</v>
      </c>
      <c r="B242" t="s">
        <v>36</v>
      </c>
      <c r="C242" t="s">
        <v>20</v>
      </c>
      <c r="D242" t="s">
        <v>13</v>
      </c>
      <c r="E242">
        <v>1</v>
      </c>
      <c r="F242">
        <v>53</v>
      </c>
      <c r="G242">
        <v>1</v>
      </c>
      <c r="H242">
        <v>2021</v>
      </c>
      <c r="I242" t="s">
        <v>325</v>
      </c>
      <c r="J242" t="str">
        <f t="shared" si="6"/>
        <v>Final</v>
      </c>
      <c r="K242">
        <f t="shared" si="7"/>
        <v>1</v>
      </c>
    </row>
    <row r="243" spans="1:11">
      <c r="A243" t="s">
        <v>10</v>
      </c>
      <c r="B243" t="s">
        <v>11</v>
      </c>
      <c r="C243" t="s">
        <v>12</v>
      </c>
      <c r="D243" t="s">
        <v>13</v>
      </c>
      <c r="E243">
        <v>1</v>
      </c>
      <c r="F243">
        <v>49</v>
      </c>
      <c r="G243">
        <v>2</v>
      </c>
      <c r="H243">
        <v>2021</v>
      </c>
      <c r="I243" t="s">
        <v>325</v>
      </c>
      <c r="J243" t="str">
        <f t="shared" si="6"/>
        <v>Final</v>
      </c>
      <c r="K243">
        <f t="shared" si="7"/>
        <v>0</v>
      </c>
    </row>
    <row r="244" spans="1:11">
      <c r="A244" t="s">
        <v>25</v>
      </c>
      <c r="B244" t="s">
        <v>26</v>
      </c>
      <c r="C244" t="s">
        <v>27</v>
      </c>
      <c r="D244" t="s">
        <v>17</v>
      </c>
      <c r="E244">
        <v>1</v>
      </c>
      <c r="F244">
        <v>30</v>
      </c>
      <c r="G244">
        <v>3</v>
      </c>
      <c r="H244">
        <v>2021</v>
      </c>
      <c r="I244" t="s">
        <v>325</v>
      </c>
      <c r="J244" t="str">
        <f t="shared" si="6"/>
        <v>Final</v>
      </c>
      <c r="K244">
        <f t="shared" si="7"/>
        <v>0</v>
      </c>
    </row>
    <row r="245" spans="1:11">
      <c r="A245" t="s">
        <v>35</v>
      </c>
      <c r="B245" t="s">
        <v>36</v>
      </c>
      <c r="C245" t="s">
        <v>20</v>
      </c>
      <c r="D245" t="s">
        <v>13</v>
      </c>
      <c r="E245">
        <v>0.5</v>
      </c>
      <c r="F245">
        <v>67</v>
      </c>
      <c r="G245">
        <v>1</v>
      </c>
      <c r="H245">
        <v>2021</v>
      </c>
      <c r="I245" t="s">
        <v>326</v>
      </c>
      <c r="J245" t="str">
        <f t="shared" si="6"/>
        <v>Semifinal</v>
      </c>
      <c r="K245">
        <f t="shared" si="7"/>
        <v>1</v>
      </c>
    </row>
    <row r="246" spans="1:11">
      <c r="A246" t="s">
        <v>18</v>
      </c>
      <c r="B246" t="s">
        <v>19</v>
      </c>
      <c r="C246" t="s">
        <v>20</v>
      </c>
      <c r="D246" t="s">
        <v>13</v>
      </c>
      <c r="E246">
        <v>0.5</v>
      </c>
      <c r="F246">
        <v>59</v>
      </c>
      <c r="G246">
        <v>2</v>
      </c>
      <c r="H246">
        <v>2021</v>
      </c>
      <c r="I246" t="s">
        <v>326</v>
      </c>
      <c r="J246" t="str">
        <f t="shared" si="6"/>
        <v>Semifinal</v>
      </c>
      <c r="K246">
        <f t="shared" si="7"/>
        <v>0</v>
      </c>
    </row>
    <row r="247" spans="1:11">
      <c r="A247" t="s">
        <v>181</v>
      </c>
      <c r="B247" t="s">
        <v>182</v>
      </c>
      <c r="C247" t="s">
        <v>20</v>
      </c>
      <c r="D247" t="s">
        <v>17</v>
      </c>
      <c r="E247">
        <v>0.5</v>
      </c>
      <c r="F247">
        <v>38</v>
      </c>
      <c r="G247">
        <v>3</v>
      </c>
      <c r="H247">
        <v>2021</v>
      </c>
      <c r="I247" t="s">
        <v>326</v>
      </c>
      <c r="J247" t="str">
        <f t="shared" si="6"/>
        <v>Semifinal</v>
      </c>
      <c r="K247">
        <f t="shared" si="7"/>
        <v>0</v>
      </c>
    </row>
    <row r="248" spans="1:11">
      <c r="A248" t="s">
        <v>10</v>
      </c>
      <c r="B248" t="s">
        <v>11</v>
      </c>
      <c r="C248" t="s">
        <v>12</v>
      </c>
      <c r="D248" t="s">
        <v>13</v>
      </c>
      <c r="E248">
        <v>0.5</v>
      </c>
      <c r="F248">
        <v>50</v>
      </c>
      <c r="G248">
        <v>1</v>
      </c>
      <c r="H248">
        <v>2021</v>
      </c>
      <c r="I248" t="s">
        <v>327</v>
      </c>
      <c r="J248" t="str">
        <f t="shared" si="6"/>
        <v>Semifinal</v>
      </c>
      <c r="K248">
        <f t="shared" si="7"/>
        <v>1</v>
      </c>
    </row>
    <row r="249" spans="1:11">
      <c r="A249" t="s">
        <v>197</v>
      </c>
      <c r="B249" t="s">
        <v>198</v>
      </c>
      <c r="C249" t="s">
        <v>39</v>
      </c>
      <c r="D249" t="s">
        <v>13</v>
      </c>
      <c r="E249">
        <v>0.5</v>
      </c>
      <c r="F249">
        <v>34</v>
      </c>
      <c r="G249">
        <v>2</v>
      </c>
      <c r="H249">
        <v>2021</v>
      </c>
      <c r="I249" t="s">
        <v>327</v>
      </c>
      <c r="J249" t="str">
        <f t="shared" si="6"/>
        <v>Semifinal</v>
      </c>
      <c r="K249">
        <f t="shared" si="7"/>
        <v>0</v>
      </c>
    </row>
    <row r="250" spans="1:11">
      <c r="A250" t="s">
        <v>104</v>
      </c>
      <c r="B250" t="s">
        <v>105</v>
      </c>
      <c r="C250" t="s">
        <v>12</v>
      </c>
      <c r="D250" t="s">
        <v>17</v>
      </c>
      <c r="E250">
        <v>0.5</v>
      </c>
      <c r="F250">
        <v>21</v>
      </c>
      <c r="G250">
        <v>3</v>
      </c>
      <c r="H250">
        <v>2021</v>
      </c>
      <c r="I250" t="s">
        <v>327</v>
      </c>
      <c r="J250" t="str">
        <f t="shared" si="6"/>
        <v>Semifinal</v>
      </c>
      <c r="K250">
        <f t="shared" si="7"/>
        <v>0</v>
      </c>
    </row>
    <row r="251" spans="1:11">
      <c r="A251" t="s">
        <v>25</v>
      </c>
      <c r="B251" t="s">
        <v>26</v>
      </c>
      <c r="C251" t="s">
        <v>27</v>
      </c>
      <c r="D251" t="s">
        <v>17</v>
      </c>
      <c r="E251">
        <v>0.5</v>
      </c>
      <c r="F251">
        <v>53</v>
      </c>
      <c r="G251">
        <v>1</v>
      </c>
      <c r="H251">
        <v>2021</v>
      </c>
      <c r="I251" t="s">
        <v>328</v>
      </c>
      <c r="J251" t="str">
        <f t="shared" si="6"/>
        <v>Semifinal</v>
      </c>
      <c r="K251">
        <f t="shared" si="7"/>
        <v>1</v>
      </c>
    </row>
    <row r="252" spans="1:11">
      <c r="A252" t="s">
        <v>29</v>
      </c>
      <c r="B252" t="s">
        <v>30</v>
      </c>
      <c r="C252" t="s">
        <v>24</v>
      </c>
      <c r="D252" t="s">
        <v>31</v>
      </c>
      <c r="E252">
        <v>0.5</v>
      </c>
      <c r="F252">
        <v>35</v>
      </c>
      <c r="G252">
        <v>2</v>
      </c>
      <c r="H252">
        <v>2021</v>
      </c>
      <c r="I252" t="s">
        <v>328</v>
      </c>
      <c r="J252" t="str">
        <f t="shared" si="6"/>
        <v>Semifinal</v>
      </c>
      <c r="K252">
        <f t="shared" si="7"/>
        <v>0</v>
      </c>
    </row>
    <row r="253" spans="1:11">
      <c r="A253" t="s">
        <v>78</v>
      </c>
      <c r="B253" t="s">
        <v>79</v>
      </c>
      <c r="C253" t="s">
        <v>80</v>
      </c>
      <c r="D253" t="s">
        <v>17</v>
      </c>
      <c r="E253">
        <v>0.5</v>
      </c>
      <c r="F253">
        <v>31</v>
      </c>
      <c r="G253">
        <v>3</v>
      </c>
      <c r="H253">
        <v>2021</v>
      </c>
      <c r="I253" t="s">
        <v>328</v>
      </c>
      <c r="J253" t="str">
        <f t="shared" si="6"/>
        <v>Semifinal</v>
      </c>
      <c r="K253">
        <f t="shared" si="7"/>
        <v>0</v>
      </c>
    </row>
    <row r="254" spans="1:11">
      <c r="A254" t="s">
        <v>29</v>
      </c>
      <c r="B254" t="s">
        <v>30</v>
      </c>
      <c r="C254" t="s">
        <v>24</v>
      </c>
      <c r="D254" t="s">
        <v>31</v>
      </c>
      <c r="E254">
        <v>0.25</v>
      </c>
      <c r="F254">
        <v>55</v>
      </c>
      <c r="G254">
        <v>1</v>
      </c>
      <c r="H254">
        <v>2021</v>
      </c>
      <c r="I254" t="s">
        <v>329</v>
      </c>
      <c r="J254" t="str">
        <f t="shared" si="6"/>
        <v>Quarterfinal</v>
      </c>
      <c r="K254">
        <f t="shared" si="7"/>
        <v>1</v>
      </c>
    </row>
    <row r="255" spans="1:11">
      <c r="A255" t="s">
        <v>37</v>
      </c>
      <c r="B255" t="s">
        <v>38</v>
      </c>
      <c r="C255" t="s">
        <v>39</v>
      </c>
      <c r="D255" t="s">
        <v>13</v>
      </c>
      <c r="E255">
        <v>0.25</v>
      </c>
      <c r="F255">
        <v>48</v>
      </c>
      <c r="G255">
        <v>2</v>
      </c>
      <c r="H255">
        <v>2021</v>
      </c>
      <c r="I255" t="s">
        <v>329</v>
      </c>
      <c r="J255" t="str">
        <f t="shared" si="6"/>
        <v>Quarterfinal</v>
      </c>
      <c r="K255">
        <f t="shared" si="7"/>
        <v>0</v>
      </c>
    </row>
    <row r="256" spans="1:11">
      <c r="A256" t="s">
        <v>222</v>
      </c>
      <c r="B256" t="s">
        <v>223</v>
      </c>
      <c r="C256" t="s">
        <v>20</v>
      </c>
      <c r="D256" t="s">
        <v>17</v>
      </c>
      <c r="E256">
        <v>0.25</v>
      </c>
      <c r="F256">
        <v>25</v>
      </c>
      <c r="G256">
        <v>3</v>
      </c>
      <c r="H256">
        <v>2021</v>
      </c>
      <c r="I256" t="s">
        <v>329</v>
      </c>
      <c r="J256" t="str">
        <f t="shared" si="6"/>
        <v>Quarterfinal</v>
      </c>
      <c r="K256">
        <f t="shared" si="7"/>
        <v>0</v>
      </c>
    </row>
    <row r="257" spans="1:11">
      <c r="A257" t="s">
        <v>104</v>
      </c>
      <c r="B257" t="s">
        <v>105</v>
      </c>
      <c r="C257" t="s">
        <v>12</v>
      </c>
      <c r="D257" t="s">
        <v>17</v>
      </c>
      <c r="E257">
        <v>0.25</v>
      </c>
      <c r="F257">
        <v>47</v>
      </c>
      <c r="G257">
        <v>1</v>
      </c>
      <c r="H257">
        <v>2021</v>
      </c>
      <c r="I257" t="s">
        <v>330</v>
      </c>
      <c r="J257" t="str">
        <f t="shared" si="6"/>
        <v>Quarterfinal</v>
      </c>
      <c r="K257">
        <f t="shared" si="7"/>
        <v>1</v>
      </c>
    </row>
    <row r="258" spans="1:11">
      <c r="A258" t="s">
        <v>81</v>
      </c>
      <c r="B258" t="s">
        <v>82</v>
      </c>
      <c r="C258" t="s">
        <v>24</v>
      </c>
      <c r="D258" t="s">
        <v>13</v>
      </c>
      <c r="E258">
        <v>0.25</v>
      </c>
      <c r="F258">
        <v>44</v>
      </c>
      <c r="G258">
        <v>2</v>
      </c>
      <c r="H258">
        <v>2021</v>
      </c>
      <c r="I258" t="s">
        <v>330</v>
      </c>
      <c r="J258" t="str">
        <f t="shared" si="6"/>
        <v>Quarterfinal</v>
      </c>
      <c r="K258">
        <f t="shared" si="7"/>
        <v>0</v>
      </c>
    </row>
    <row r="259" spans="1:11">
      <c r="A259" t="s">
        <v>277</v>
      </c>
      <c r="B259" t="s">
        <v>278</v>
      </c>
      <c r="C259" t="s">
        <v>118</v>
      </c>
      <c r="D259" t="s">
        <v>17</v>
      </c>
      <c r="E259">
        <v>0.25</v>
      </c>
      <c r="F259">
        <v>30</v>
      </c>
      <c r="G259">
        <v>3</v>
      </c>
      <c r="H259">
        <v>2021</v>
      </c>
      <c r="I259" t="s">
        <v>330</v>
      </c>
      <c r="J259" t="str">
        <f t="shared" ref="J259:J322" si="8">IF(E259=1,"Final",IF(E259=0.5,"Semifinal",IF(E259=0.25,"Quarterfinal",IF(E259=0.125,"Preliminary","Unknown"))))</f>
        <v>Quarterfinal</v>
      </c>
      <c r="K259">
        <f t="shared" ref="K259:K322" si="9">IF(G259=1,1,0)</f>
        <v>0</v>
      </c>
    </row>
    <row r="260" spans="1:11">
      <c r="A260" t="s">
        <v>78</v>
      </c>
      <c r="B260" t="s">
        <v>79</v>
      </c>
      <c r="C260" t="s">
        <v>80</v>
      </c>
      <c r="D260" t="s">
        <v>17</v>
      </c>
      <c r="E260">
        <v>0.25</v>
      </c>
      <c r="F260">
        <v>59</v>
      </c>
      <c r="G260">
        <v>1</v>
      </c>
      <c r="H260">
        <v>2021</v>
      </c>
      <c r="I260" t="s">
        <v>331</v>
      </c>
      <c r="J260" t="str">
        <f t="shared" si="8"/>
        <v>Quarterfinal</v>
      </c>
      <c r="K260">
        <f t="shared" si="9"/>
        <v>1</v>
      </c>
    </row>
    <row r="261" spans="1:11">
      <c r="A261" t="s">
        <v>212</v>
      </c>
      <c r="B261" t="s">
        <v>213</v>
      </c>
      <c r="C261" t="s">
        <v>20</v>
      </c>
      <c r="D261" t="s">
        <v>17</v>
      </c>
      <c r="E261">
        <v>0.25</v>
      </c>
      <c r="F261">
        <v>44</v>
      </c>
      <c r="G261">
        <v>2</v>
      </c>
      <c r="H261">
        <v>2021</v>
      </c>
      <c r="I261" t="s">
        <v>331</v>
      </c>
      <c r="J261" t="str">
        <f t="shared" si="8"/>
        <v>Quarterfinal</v>
      </c>
      <c r="K261">
        <f t="shared" si="9"/>
        <v>0</v>
      </c>
    </row>
    <row r="262" spans="1:11">
      <c r="A262" t="s">
        <v>160</v>
      </c>
      <c r="B262" t="s">
        <v>161</v>
      </c>
      <c r="C262" t="s">
        <v>24</v>
      </c>
      <c r="D262" t="s">
        <v>13</v>
      </c>
      <c r="E262">
        <v>0.25</v>
      </c>
      <c r="F262">
        <v>36</v>
      </c>
      <c r="G262">
        <v>3</v>
      </c>
      <c r="H262">
        <v>2021</v>
      </c>
      <c r="I262" t="s">
        <v>331</v>
      </c>
      <c r="J262" t="str">
        <f t="shared" si="8"/>
        <v>Quarterfinal</v>
      </c>
      <c r="K262">
        <f t="shared" si="9"/>
        <v>0</v>
      </c>
    </row>
    <row r="263" spans="1:11">
      <c r="A263" t="s">
        <v>18</v>
      </c>
      <c r="B263" t="s">
        <v>19</v>
      </c>
      <c r="C263" t="s">
        <v>20</v>
      </c>
      <c r="D263" t="s">
        <v>13</v>
      </c>
      <c r="E263">
        <v>0.25</v>
      </c>
      <c r="F263">
        <v>56</v>
      </c>
      <c r="G263">
        <v>1</v>
      </c>
      <c r="H263">
        <v>2021</v>
      </c>
      <c r="I263" t="s">
        <v>332</v>
      </c>
      <c r="J263" t="str">
        <f t="shared" si="8"/>
        <v>Quarterfinal</v>
      </c>
      <c r="K263">
        <f t="shared" si="9"/>
        <v>1</v>
      </c>
    </row>
    <row r="264" spans="1:11">
      <c r="A264" t="s">
        <v>172</v>
      </c>
      <c r="B264" t="s">
        <v>173</v>
      </c>
      <c r="C264" t="s">
        <v>39</v>
      </c>
      <c r="D264" t="s">
        <v>17</v>
      </c>
      <c r="E264">
        <v>0.25</v>
      </c>
      <c r="F264">
        <v>36</v>
      </c>
      <c r="G264">
        <v>2</v>
      </c>
      <c r="H264">
        <v>2021</v>
      </c>
      <c r="I264" t="s">
        <v>332</v>
      </c>
      <c r="J264" t="str">
        <f t="shared" si="8"/>
        <v>Quarterfinal</v>
      </c>
      <c r="K264">
        <f t="shared" si="9"/>
        <v>0</v>
      </c>
    </row>
    <row r="265" spans="1:11">
      <c r="A265" t="s">
        <v>297</v>
      </c>
      <c r="B265" t="s">
        <v>298</v>
      </c>
      <c r="C265" t="s">
        <v>39</v>
      </c>
      <c r="D265" t="s">
        <v>17</v>
      </c>
      <c r="E265">
        <v>0.25</v>
      </c>
      <c r="F265">
        <v>28</v>
      </c>
      <c r="G265">
        <v>3</v>
      </c>
      <c r="H265">
        <v>2021</v>
      </c>
      <c r="I265" t="s">
        <v>332</v>
      </c>
      <c r="J265" t="str">
        <f t="shared" si="8"/>
        <v>Quarterfinal</v>
      </c>
      <c r="K265">
        <f t="shared" si="9"/>
        <v>0</v>
      </c>
    </row>
    <row r="266" spans="1:11">
      <c r="A266" t="s">
        <v>35</v>
      </c>
      <c r="B266" t="s">
        <v>36</v>
      </c>
      <c r="C266" t="s">
        <v>20</v>
      </c>
      <c r="D266" t="s">
        <v>13</v>
      </c>
      <c r="E266">
        <v>0.25</v>
      </c>
      <c r="F266">
        <v>67</v>
      </c>
      <c r="G266">
        <v>1</v>
      </c>
      <c r="H266">
        <v>2021</v>
      </c>
      <c r="I266" t="s">
        <v>333</v>
      </c>
      <c r="J266" t="str">
        <f t="shared" si="8"/>
        <v>Quarterfinal</v>
      </c>
      <c r="K266">
        <f t="shared" si="9"/>
        <v>1</v>
      </c>
    </row>
    <row r="267" spans="1:11">
      <c r="A267" t="s">
        <v>334</v>
      </c>
      <c r="B267" t="s">
        <v>335</v>
      </c>
      <c r="C267" t="s">
        <v>27</v>
      </c>
      <c r="D267" t="s">
        <v>17</v>
      </c>
      <c r="E267">
        <v>0.25</v>
      </c>
      <c r="F267">
        <v>30</v>
      </c>
      <c r="G267">
        <v>2</v>
      </c>
      <c r="H267">
        <v>2021</v>
      </c>
      <c r="I267" t="s">
        <v>333</v>
      </c>
      <c r="J267" t="str">
        <f t="shared" si="8"/>
        <v>Quarterfinal</v>
      </c>
      <c r="K267">
        <f t="shared" si="9"/>
        <v>0</v>
      </c>
    </row>
    <row r="268" spans="1:11">
      <c r="A268" t="s">
        <v>62</v>
      </c>
      <c r="B268" t="s">
        <v>63</v>
      </c>
      <c r="C268" t="s">
        <v>20</v>
      </c>
      <c r="D268" t="s">
        <v>17</v>
      </c>
      <c r="E268">
        <v>0.25</v>
      </c>
      <c r="F268">
        <v>24</v>
      </c>
      <c r="G268">
        <v>3</v>
      </c>
      <c r="H268">
        <v>2021</v>
      </c>
      <c r="I268" t="s">
        <v>333</v>
      </c>
      <c r="J268" t="str">
        <f t="shared" si="8"/>
        <v>Quarterfinal</v>
      </c>
      <c r="K268">
        <f t="shared" si="9"/>
        <v>0</v>
      </c>
    </row>
    <row r="269" spans="1:11">
      <c r="A269" t="s">
        <v>10</v>
      </c>
      <c r="B269" t="s">
        <v>11</v>
      </c>
      <c r="C269" t="s">
        <v>12</v>
      </c>
      <c r="D269" t="s">
        <v>13</v>
      </c>
      <c r="E269">
        <v>0.25</v>
      </c>
      <c r="F269">
        <v>70</v>
      </c>
      <c r="G269">
        <v>1</v>
      </c>
      <c r="H269">
        <v>2021</v>
      </c>
      <c r="I269" t="s">
        <v>336</v>
      </c>
      <c r="J269" t="str">
        <f t="shared" si="8"/>
        <v>Quarterfinal</v>
      </c>
      <c r="K269">
        <f t="shared" si="9"/>
        <v>1</v>
      </c>
    </row>
    <row r="270" spans="1:11">
      <c r="A270" t="s">
        <v>152</v>
      </c>
      <c r="B270" t="s">
        <v>153</v>
      </c>
      <c r="C270" t="s">
        <v>24</v>
      </c>
      <c r="D270" t="s">
        <v>17</v>
      </c>
      <c r="E270">
        <v>0.25</v>
      </c>
      <c r="F270">
        <v>49</v>
      </c>
      <c r="G270">
        <v>2</v>
      </c>
      <c r="H270">
        <v>2021</v>
      </c>
      <c r="I270" t="s">
        <v>336</v>
      </c>
      <c r="J270" t="str">
        <f t="shared" si="8"/>
        <v>Quarterfinal</v>
      </c>
      <c r="K270">
        <f t="shared" si="9"/>
        <v>0</v>
      </c>
    </row>
    <row r="271" spans="1:11">
      <c r="A271" t="s">
        <v>320</v>
      </c>
      <c r="B271" t="s">
        <v>321</v>
      </c>
      <c r="C271" t="s">
        <v>177</v>
      </c>
      <c r="D271" t="s">
        <v>17</v>
      </c>
      <c r="E271">
        <v>0.25</v>
      </c>
      <c r="F271">
        <v>34</v>
      </c>
      <c r="G271">
        <v>3</v>
      </c>
      <c r="H271">
        <v>2021</v>
      </c>
      <c r="I271" t="s">
        <v>336</v>
      </c>
      <c r="J271" t="str">
        <f t="shared" si="8"/>
        <v>Quarterfinal</v>
      </c>
      <c r="K271">
        <f t="shared" si="9"/>
        <v>0</v>
      </c>
    </row>
    <row r="272" spans="1:11">
      <c r="A272" t="s">
        <v>197</v>
      </c>
      <c r="B272" t="s">
        <v>198</v>
      </c>
      <c r="C272" t="s">
        <v>39</v>
      </c>
      <c r="D272" t="s">
        <v>13</v>
      </c>
      <c r="E272">
        <v>0.25</v>
      </c>
      <c r="F272">
        <v>67</v>
      </c>
      <c r="G272">
        <v>1</v>
      </c>
      <c r="H272">
        <v>2021</v>
      </c>
      <c r="I272" t="s">
        <v>337</v>
      </c>
      <c r="J272" t="str">
        <f t="shared" si="8"/>
        <v>Quarterfinal</v>
      </c>
      <c r="K272">
        <f t="shared" si="9"/>
        <v>1</v>
      </c>
    </row>
    <row r="273" spans="1:11">
      <c r="A273" t="s">
        <v>306</v>
      </c>
      <c r="B273" t="s">
        <v>307</v>
      </c>
      <c r="C273" t="s">
        <v>27</v>
      </c>
      <c r="D273" t="s">
        <v>17</v>
      </c>
      <c r="E273">
        <v>0.25</v>
      </c>
      <c r="F273">
        <v>35</v>
      </c>
      <c r="G273">
        <v>2</v>
      </c>
      <c r="H273">
        <v>2021</v>
      </c>
      <c r="I273" t="s">
        <v>337</v>
      </c>
      <c r="J273" t="str">
        <f t="shared" si="8"/>
        <v>Quarterfinal</v>
      </c>
      <c r="K273">
        <f t="shared" si="9"/>
        <v>0</v>
      </c>
    </row>
    <row r="274" spans="1:11">
      <c r="A274" t="s">
        <v>302</v>
      </c>
      <c r="B274" t="s">
        <v>303</v>
      </c>
      <c r="C274" t="s">
        <v>195</v>
      </c>
      <c r="D274" t="s">
        <v>17</v>
      </c>
      <c r="E274">
        <v>0.25</v>
      </c>
      <c r="F274">
        <v>20</v>
      </c>
      <c r="G274">
        <v>3</v>
      </c>
      <c r="H274">
        <v>2021</v>
      </c>
      <c r="I274" t="s">
        <v>337</v>
      </c>
      <c r="J274" t="str">
        <f t="shared" si="8"/>
        <v>Quarterfinal</v>
      </c>
      <c r="K274">
        <f t="shared" si="9"/>
        <v>0</v>
      </c>
    </row>
    <row r="275" spans="1:11">
      <c r="A275" t="s">
        <v>25</v>
      </c>
      <c r="B275" t="s">
        <v>26</v>
      </c>
      <c r="C275" t="s">
        <v>27</v>
      </c>
      <c r="D275" t="s">
        <v>17</v>
      </c>
      <c r="E275">
        <v>0.25</v>
      </c>
      <c r="F275">
        <v>68</v>
      </c>
      <c r="G275">
        <v>1</v>
      </c>
      <c r="H275">
        <v>2021</v>
      </c>
      <c r="I275" t="s">
        <v>338</v>
      </c>
      <c r="J275" t="str">
        <f t="shared" si="8"/>
        <v>Quarterfinal</v>
      </c>
      <c r="K275">
        <f t="shared" si="9"/>
        <v>1</v>
      </c>
    </row>
    <row r="276" spans="1:11">
      <c r="A276" t="s">
        <v>32</v>
      </c>
      <c r="B276" t="s">
        <v>33</v>
      </c>
      <c r="C276" t="s">
        <v>20</v>
      </c>
      <c r="D276" t="s">
        <v>31</v>
      </c>
      <c r="E276">
        <v>0.25</v>
      </c>
      <c r="F276">
        <v>51</v>
      </c>
      <c r="G276">
        <v>2</v>
      </c>
      <c r="H276">
        <v>2021</v>
      </c>
      <c r="I276" t="s">
        <v>338</v>
      </c>
      <c r="J276" t="str">
        <f t="shared" si="8"/>
        <v>Quarterfinal</v>
      </c>
      <c r="K276">
        <f t="shared" si="9"/>
        <v>0</v>
      </c>
    </row>
    <row r="277" spans="1:11">
      <c r="A277" t="s">
        <v>140</v>
      </c>
      <c r="B277" t="s">
        <v>141</v>
      </c>
      <c r="C277" t="s">
        <v>24</v>
      </c>
      <c r="D277" t="s">
        <v>17</v>
      </c>
      <c r="E277">
        <v>0.25</v>
      </c>
      <c r="F277">
        <v>45</v>
      </c>
      <c r="G277">
        <v>3</v>
      </c>
      <c r="H277">
        <v>2021</v>
      </c>
      <c r="I277" t="s">
        <v>338</v>
      </c>
      <c r="J277" t="str">
        <f t="shared" si="8"/>
        <v>Quarterfinal</v>
      </c>
      <c r="K277">
        <f t="shared" si="9"/>
        <v>0</v>
      </c>
    </row>
    <row r="278" spans="1:11">
      <c r="A278" t="s">
        <v>181</v>
      </c>
      <c r="B278" t="s">
        <v>182</v>
      </c>
      <c r="C278" t="s">
        <v>20</v>
      </c>
      <c r="D278" t="s">
        <v>17</v>
      </c>
      <c r="E278">
        <v>0.25</v>
      </c>
      <c r="F278">
        <v>55</v>
      </c>
      <c r="G278">
        <v>1</v>
      </c>
      <c r="H278">
        <v>2021</v>
      </c>
      <c r="I278" t="s">
        <v>339</v>
      </c>
      <c r="J278" t="str">
        <f t="shared" si="8"/>
        <v>Quarterfinal</v>
      </c>
      <c r="K278">
        <f t="shared" si="9"/>
        <v>1</v>
      </c>
    </row>
    <row r="279" spans="1:11">
      <c r="A279" t="s">
        <v>46</v>
      </c>
      <c r="B279" t="s">
        <v>47</v>
      </c>
      <c r="C279" t="s">
        <v>12</v>
      </c>
      <c r="D279" t="s">
        <v>13</v>
      </c>
      <c r="E279">
        <v>0.25</v>
      </c>
      <c r="F279">
        <v>52</v>
      </c>
      <c r="G279">
        <v>2</v>
      </c>
      <c r="H279">
        <v>2021</v>
      </c>
      <c r="I279" t="s">
        <v>339</v>
      </c>
      <c r="J279" t="str">
        <f t="shared" si="8"/>
        <v>Quarterfinal</v>
      </c>
      <c r="K279">
        <f t="shared" si="9"/>
        <v>0</v>
      </c>
    </row>
    <row r="280" spans="1:11">
      <c r="A280" t="s">
        <v>137</v>
      </c>
      <c r="B280" t="s">
        <v>138</v>
      </c>
      <c r="C280" t="s">
        <v>27</v>
      </c>
      <c r="D280" t="s">
        <v>31</v>
      </c>
      <c r="E280">
        <v>0.25</v>
      </c>
      <c r="F280">
        <v>45</v>
      </c>
      <c r="G280">
        <v>3</v>
      </c>
      <c r="H280">
        <v>2021</v>
      </c>
      <c r="I280" t="s">
        <v>339</v>
      </c>
      <c r="J280" t="str">
        <f t="shared" si="8"/>
        <v>Quarterfinal</v>
      </c>
      <c r="K280">
        <f t="shared" si="9"/>
        <v>0</v>
      </c>
    </row>
    <row r="281" spans="1:11">
      <c r="A281" t="s">
        <v>181</v>
      </c>
      <c r="B281" t="s">
        <v>182</v>
      </c>
      <c r="C281" t="s">
        <v>20</v>
      </c>
      <c r="D281" t="s">
        <v>17</v>
      </c>
      <c r="E281">
        <v>0.125</v>
      </c>
      <c r="F281">
        <v>53</v>
      </c>
      <c r="G281">
        <v>1</v>
      </c>
      <c r="H281">
        <v>2021</v>
      </c>
      <c r="I281" t="s">
        <v>340</v>
      </c>
      <c r="J281" t="str">
        <f t="shared" si="8"/>
        <v>Preliminary</v>
      </c>
      <c r="K281">
        <f t="shared" si="9"/>
        <v>1</v>
      </c>
    </row>
    <row r="282" spans="1:11">
      <c r="A282" t="s">
        <v>75</v>
      </c>
      <c r="B282" t="s">
        <v>76</v>
      </c>
      <c r="C282" t="s">
        <v>39</v>
      </c>
      <c r="D282" t="s">
        <v>17</v>
      </c>
      <c r="E282">
        <v>0.125</v>
      </c>
      <c r="F282">
        <v>32</v>
      </c>
      <c r="G282">
        <v>2</v>
      </c>
      <c r="H282">
        <v>2021</v>
      </c>
      <c r="I282" t="s">
        <v>340</v>
      </c>
      <c r="J282" t="str">
        <f t="shared" si="8"/>
        <v>Preliminary</v>
      </c>
      <c r="K282">
        <f t="shared" si="9"/>
        <v>0</v>
      </c>
    </row>
    <row r="283" spans="1:11">
      <c r="A283" t="s">
        <v>341</v>
      </c>
      <c r="B283" t="s">
        <v>342</v>
      </c>
      <c r="C283" t="s">
        <v>50</v>
      </c>
      <c r="D283" t="s">
        <v>13</v>
      </c>
      <c r="E283">
        <v>0.125</v>
      </c>
      <c r="F283">
        <v>29</v>
      </c>
      <c r="G283">
        <v>3</v>
      </c>
      <c r="H283">
        <v>2021</v>
      </c>
      <c r="I283" t="s">
        <v>340</v>
      </c>
      <c r="J283" t="str">
        <f t="shared" si="8"/>
        <v>Preliminary</v>
      </c>
      <c r="K283">
        <f t="shared" si="9"/>
        <v>0</v>
      </c>
    </row>
    <row r="284" spans="1:11">
      <c r="A284" t="s">
        <v>140</v>
      </c>
      <c r="B284" t="s">
        <v>141</v>
      </c>
      <c r="C284" t="s">
        <v>24</v>
      </c>
      <c r="D284" t="s">
        <v>17</v>
      </c>
      <c r="E284">
        <v>0.125</v>
      </c>
      <c r="F284">
        <v>41</v>
      </c>
      <c r="G284">
        <v>1</v>
      </c>
      <c r="H284">
        <v>2021</v>
      </c>
      <c r="I284" t="s">
        <v>343</v>
      </c>
      <c r="J284" t="str">
        <f t="shared" si="8"/>
        <v>Preliminary</v>
      </c>
      <c r="K284">
        <f t="shared" si="9"/>
        <v>1</v>
      </c>
    </row>
    <row r="285" spans="1:11">
      <c r="A285" t="s">
        <v>22</v>
      </c>
      <c r="B285" t="s">
        <v>23</v>
      </c>
      <c r="C285" t="s">
        <v>24</v>
      </c>
      <c r="D285" t="s">
        <v>13</v>
      </c>
      <c r="E285">
        <v>0.125</v>
      </c>
      <c r="F285">
        <v>38</v>
      </c>
      <c r="G285">
        <v>2</v>
      </c>
      <c r="H285">
        <v>2021</v>
      </c>
      <c r="I285" t="s">
        <v>343</v>
      </c>
      <c r="J285" t="str">
        <f t="shared" si="8"/>
        <v>Preliminary</v>
      </c>
      <c r="K285">
        <f t="shared" si="9"/>
        <v>0</v>
      </c>
    </row>
    <row r="286" spans="1:11">
      <c r="A286" t="s">
        <v>183</v>
      </c>
      <c r="B286" t="s">
        <v>184</v>
      </c>
      <c r="C286" t="s">
        <v>20</v>
      </c>
      <c r="D286" t="s">
        <v>17</v>
      </c>
      <c r="E286">
        <v>0.125</v>
      </c>
      <c r="F286">
        <v>25</v>
      </c>
      <c r="G286">
        <v>3</v>
      </c>
      <c r="H286">
        <v>2021</v>
      </c>
      <c r="I286" t="s">
        <v>343</v>
      </c>
      <c r="J286" t="str">
        <f t="shared" si="8"/>
        <v>Preliminary</v>
      </c>
      <c r="K286">
        <f t="shared" si="9"/>
        <v>0</v>
      </c>
    </row>
    <row r="287" spans="1:11">
      <c r="A287" t="s">
        <v>78</v>
      </c>
      <c r="B287" t="s">
        <v>79</v>
      </c>
      <c r="C287" t="s">
        <v>80</v>
      </c>
      <c r="D287" t="s">
        <v>17</v>
      </c>
      <c r="E287">
        <v>0.125</v>
      </c>
      <c r="F287">
        <v>56</v>
      </c>
      <c r="G287">
        <v>1</v>
      </c>
      <c r="H287">
        <v>2021</v>
      </c>
      <c r="I287" t="s">
        <v>344</v>
      </c>
      <c r="J287" t="str">
        <f t="shared" si="8"/>
        <v>Preliminary</v>
      </c>
      <c r="K287">
        <f t="shared" si="9"/>
        <v>1</v>
      </c>
    </row>
    <row r="288" spans="1:11">
      <c r="A288" t="s">
        <v>15</v>
      </c>
      <c r="B288" t="s">
        <v>16</v>
      </c>
      <c r="C288" t="s">
        <v>12</v>
      </c>
      <c r="D288" t="s">
        <v>17</v>
      </c>
      <c r="E288">
        <v>0.125</v>
      </c>
      <c r="F288">
        <v>48</v>
      </c>
      <c r="G288">
        <v>2</v>
      </c>
      <c r="H288">
        <v>2021</v>
      </c>
      <c r="I288" t="s">
        <v>344</v>
      </c>
      <c r="J288" t="str">
        <f t="shared" si="8"/>
        <v>Preliminary</v>
      </c>
      <c r="K288">
        <f t="shared" si="9"/>
        <v>0</v>
      </c>
    </row>
    <row r="289" spans="1:11">
      <c r="A289" t="s">
        <v>345</v>
      </c>
      <c r="B289" t="s">
        <v>346</v>
      </c>
      <c r="C289" t="s">
        <v>80</v>
      </c>
      <c r="D289" t="s">
        <v>17</v>
      </c>
      <c r="E289">
        <v>0.125</v>
      </c>
      <c r="F289">
        <v>14</v>
      </c>
      <c r="G289">
        <v>3</v>
      </c>
      <c r="H289">
        <v>2021</v>
      </c>
      <c r="I289" t="s">
        <v>344</v>
      </c>
      <c r="J289" t="str">
        <f t="shared" si="8"/>
        <v>Preliminary</v>
      </c>
      <c r="K289">
        <f t="shared" si="9"/>
        <v>0</v>
      </c>
    </row>
    <row r="290" spans="1:11">
      <c r="A290" t="s">
        <v>35</v>
      </c>
      <c r="B290" t="s">
        <v>36</v>
      </c>
      <c r="C290" t="s">
        <v>20</v>
      </c>
      <c r="D290" t="s">
        <v>13</v>
      </c>
      <c r="E290">
        <v>0.125</v>
      </c>
      <c r="F290">
        <v>62</v>
      </c>
      <c r="G290">
        <v>1</v>
      </c>
      <c r="H290">
        <v>2021</v>
      </c>
      <c r="I290" t="s">
        <v>347</v>
      </c>
      <c r="J290" t="str">
        <f t="shared" si="8"/>
        <v>Preliminary</v>
      </c>
      <c r="K290">
        <f t="shared" si="9"/>
        <v>1</v>
      </c>
    </row>
    <row r="291" spans="1:11">
      <c r="A291" t="s">
        <v>150</v>
      </c>
      <c r="B291" t="s">
        <v>151</v>
      </c>
      <c r="C291" t="s">
        <v>12</v>
      </c>
      <c r="D291" t="s">
        <v>17</v>
      </c>
      <c r="E291">
        <v>0.125</v>
      </c>
      <c r="F291">
        <v>20</v>
      </c>
      <c r="G291">
        <v>2</v>
      </c>
      <c r="H291">
        <v>2021</v>
      </c>
      <c r="I291" t="s">
        <v>347</v>
      </c>
      <c r="J291" t="str">
        <f t="shared" si="8"/>
        <v>Preliminary</v>
      </c>
      <c r="K291">
        <f t="shared" si="9"/>
        <v>0</v>
      </c>
    </row>
    <row r="292" spans="1:11">
      <c r="A292" t="s">
        <v>348</v>
      </c>
      <c r="B292" t="s">
        <v>349</v>
      </c>
      <c r="C292" t="s">
        <v>177</v>
      </c>
      <c r="D292" t="s">
        <v>17</v>
      </c>
      <c r="E292">
        <v>0.125</v>
      </c>
      <c r="F292">
        <v>19</v>
      </c>
      <c r="G292">
        <v>3</v>
      </c>
      <c r="H292">
        <v>2021</v>
      </c>
      <c r="I292" t="s">
        <v>347</v>
      </c>
      <c r="J292" t="str">
        <f t="shared" si="8"/>
        <v>Preliminary</v>
      </c>
      <c r="K292">
        <f t="shared" si="9"/>
        <v>0</v>
      </c>
    </row>
    <row r="293" spans="1:11">
      <c r="A293" t="s">
        <v>302</v>
      </c>
      <c r="B293" t="s">
        <v>303</v>
      </c>
      <c r="C293" t="s">
        <v>195</v>
      </c>
      <c r="D293" t="s">
        <v>17</v>
      </c>
      <c r="E293">
        <v>0.125</v>
      </c>
      <c r="F293">
        <v>41</v>
      </c>
      <c r="G293">
        <v>1</v>
      </c>
      <c r="H293">
        <v>2021</v>
      </c>
      <c r="I293" t="s">
        <v>350</v>
      </c>
      <c r="J293" t="str">
        <f t="shared" si="8"/>
        <v>Preliminary</v>
      </c>
      <c r="K293">
        <f t="shared" si="9"/>
        <v>1</v>
      </c>
    </row>
    <row r="294" spans="1:11">
      <c r="A294" t="s">
        <v>162</v>
      </c>
      <c r="B294" t="s">
        <v>163</v>
      </c>
      <c r="C294" t="s">
        <v>39</v>
      </c>
      <c r="D294" t="s">
        <v>17</v>
      </c>
      <c r="E294">
        <v>0.125</v>
      </c>
      <c r="F294">
        <v>29</v>
      </c>
      <c r="G294">
        <v>2</v>
      </c>
      <c r="H294">
        <v>2021</v>
      </c>
      <c r="I294" t="s">
        <v>350</v>
      </c>
      <c r="J294" t="str">
        <f t="shared" si="8"/>
        <v>Preliminary</v>
      </c>
      <c r="K294">
        <f t="shared" si="9"/>
        <v>0</v>
      </c>
    </row>
    <row r="295" spans="1:11">
      <c r="A295" t="s">
        <v>351</v>
      </c>
      <c r="B295" t="s">
        <v>351</v>
      </c>
      <c r="C295" t="s">
        <v>80</v>
      </c>
      <c r="D295" t="s">
        <v>17</v>
      </c>
      <c r="E295">
        <v>0.125</v>
      </c>
      <c r="F295">
        <v>24</v>
      </c>
      <c r="G295">
        <v>3</v>
      </c>
      <c r="H295">
        <v>2021</v>
      </c>
      <c r="I295" t="s">
        <v>350</v>
      </c>
      <c r="J295" t="str">
        <f t="shared" si="8"/>
        <v>Preliminary</v>
      </c>
      <c r="K295">
        <f t="shared" si="9"/>
        <v>0</v>
      </c>
    </row>
    <row r="296" spans="1:11">
      <c r="A296" t="s">
        <v>29</v>
      </c>
      <c r="B296" t="s">
        <v>30</v>
      </c>
      <c r="C296" t="s">
        <v>24</v>
      </c>
      <c r="D296" t="s">
        <v>31</v>
      </c>
      <c r="E296">
        <v>0.125</v>
      </c>
      <c r="F296">
        <v>39</v>
      </c>
      <c r="G296">
        <v>1</v>
      </c>
      <c r="H296">
        <v>2021</v>
      </c>
      <c r="I296" t="s">
        <v>352</v>
      </c>
      <c r="J296" t="str">
        <f t="shared" si="8"/>
        <v>Preliminary</v>
      </c>
      <c r="K296">
        <f t="shared" si="9"/>
        <v>1</v>
      </c>
    </row>
    <row r="297" spans="1:11">
      <c r="A297" t="s">
        <v>116</v>
      </c>
      <c r="B297" t="s">
        <v>117</v>
      </c>
      <c r="C297" t="s">
        <v>118</v>
      </c>
      <c r="D297" t="s">
        <v>13</v>
      </c>
      <c r="E297">
        <v>0.125</v>
      </c>
      <c r="F297">
        <v>35</v>
      </c>
      <c r="G297">
        <v>2</v>
      </c>
      <c r="H297">
        <v>2021</v>
      </c>
      <c r="I297" t="s">
        <v>352</v>
      </c>
      <c r="J297" t="str">
        <f t="shared" si="8"/>
        <v>Preliminary</v>
      </c>
      <c r="K297">
        <f t="shared" si="9"/>
        <v>0</v>
      </c>
    </row>
    <row r="298" spans="1:11">
      <c r="A298" t="s">
        <v>199</v>
      </c>
      <c r="B298" t="s">
        <v>200</v>
      </c>
      <c r="C298" t="s">
        <v>39</v>
      </c>
      <c r="D298" t="s">
        <v>31</v>
      </c>
      <c r="E298">
        <v>0.125</v>
      </c>
      <c r="F298">
        <v>30</v>
      </c>
      <c r="G298">
        <v>3</v>
      </c>
      <c r="H298">
        <v>2021</v>
      </c>
      <c r="I298" t="s">
        <v>352</v>
      </c>
      <c r="J298" t="str">
        <f t="shared" si="8"/>
        <v>Preliminary</v>
      </c>
      <c r="K298">
        <f t="shared" si="9"/>
        <v>0</v>
      </c>
    </row>
    <row r="299" spans="1:11">
      <c r="A299" t="s">
        <v>334</v>
      </c>
      <c r="B299" t="s">
        <v>335</v>
      </c>
      <c r="C299" t="s">
        <v>27</v>
      </c>
      <c r="D299" t="s">
        <v>17</v>
      </c>
      <c r="E299">
        <v>0.125</v>
      </c>
      <c r="F299">
        <v>46</v>
      </c>
      <c r="G299">
        <v>1</v>
      </c>
      <c r="H299">
        <v>2021</v>
      </c>
      <c r="I299" t="s">
        <v>353</v>
      </c>
      <c r="J299" t="str">
        <f t="shared" si="8"/>
        <v>Preliminary</v>
      </c>
      <c r="K299">
        <f t="shared" si="9"/>
        <v>1</v>
      </c>
    </row>
    <row r="300" spans="1:11">
      <c r="A300" t="s">
        <v>96</v>
      </c>
      <c r="B300" t="s">
        <v>97</v>
      </c>
      <c r="C300" t="s">
        <v>74</v>
      </c>
      <c r="D300" t="s">
        <v>17</v>
      </c>
      <c r="E300">
        <v>0.125</v>
      </c>
      <c r="F300">
        <v>39</v>
      </c>
      <c r="G300">
        <v>2</v>
      </c>
      <c r="H300">
        <v>2021</v>
      </c>
      <c r="I300" t="s">
        <v>353</v>
      </c>
      <c r="J300" t="str">
        <f t="shared" si="8"/>
        <v>Preliminary</v>
      </c>
      <c r="K300">
        <f t="shared" si="9"/>
        <v>0</v>
      </c>
    </row>
    <row r="301" spans="1:11">
      <c r="A301" t="s">
        <v>202</v>
      </c>
      <c r="B301" t="s">
        <v>203</v>
      </c>
      <c r="C301" t="s">
        <v>39</v>
      </c>
      <c r="D301" t="s">
        <v>13</v>
      </c>
      <c r="E301">
        <v>0.125</v>
      </c>
      <c r="F301">
        <v>22</v>
      </c>
      <c r="G301">
        <v>3</v>
      </c>
      <c r="H301">
        <v>2021</v>
      </c>
      <c r="I301" t="s">
        <v>353</v>
      </c>
      <c r="J301" t="str">
        <f t="shared" si="8"/>
        <v>Preliminary</v>
      </c>
      <c r="K301">
        <f t="shared" si="9"/>
        <v>0</v>
      </c>
    </row>
    <row r="302" spans="1:11">
      <c r="A302" t="s">
        <v>104</v>
      </c>
      <c r="B302" t="s">
        <v>105</v>
      </c>
      <c r="C302" t="s">
        <v>12</v>
      </c>
      <c r="D302" t="s">
        <v>17</v>
      </c>
      <c r="E302">
        <v>0.125</v>
      </c>
      <c r="F302">
        <v>42</v>
      </c>
      <c r="G302">
        <v>1</v>
      </c>
      <c r="H302">
        <v>2021</v>
      </c>
      <c r="I302" t="s">
        <v>354</v>
      </c>
      <c r="J302" t="str">
        <f t="shared" si="8"/>
        <v>Preliminary</v>
      </c>
      <c r="K302">
        <f t="shared" si="9"/>
        <v>1</v>
      </c>
    </row>
    <row r="303" spans="1:11">
      <c r="A303" t="s">
        <v>86</v>
      </c>
      <c r="B303" t="s">
        <v>87</v>
      </c>
      <c r="C303" t="s">
        <v>20</v>
      </c>
      <c r="D303" t="s">
        <v>17</v>
      </c>
      <c r="E303">
        <v>0.125</v>
      </c>
      <c r="F303">
        <v>39</v>
      </c>
      <c r="G303">
        <v>2</v>
      </c>
      <c r="H303">
        <v>2021</v>
      </c>
      <c r="I303" t="s">
        <v>354</v>
      </c>
      <c r="J303" t="str">
        <f t="shared" si="8"/>
        <v>Preliminary</v>
      </c>
      <c r="K303">
        <f t="shared" si="9"/>
        <v>0</v>
      </c>
    </row>
    <row r="304" spans="1:11">
      <c r="A304" t="s">
        <v>72</v>
      </c>
      <c r="B304" t="s">
        <v>73</v>
      </c>
      <c r="C304" t="s">
        <v>74</v>
      </c>
      <c r="D304" t="s">
        <v>13</v>
      </c>
      <c r="E304">
        <v>0.125</v>
      </c>
      <c r="F304">
        <v>35</v>
      </c>
      <c r="G304">
        <v>3</v>
      </c>
      <c r="H304">
        <v>2021</v>
      </c>
      <c r="I304" t="s">
        <v>354</v>
      </c>
      <c r="J304" t="str">
        <f t="shared" si="8"/>
        <v>Preliminary</v>
      </c>
      <c r="K304">
        <f t="shared" si="9"/>
        <v>0</v>
      </c>
    </row>
    <row r="305" spans="1:11">
      <c r="A305" t="s">
        <v>320</v>
      </c>
      <c r="B305" t="s">
        <v>321</v>
      </c>
      <c r="C305" t="s">
        <v>177</v>
      </c>
      <c r="D305" t="s">
        <v>17</v>
      </c>
      <c r="E305">
        <v>0.125</v>
      </c>
      <c r="F305">
        <v>31</v>
      </c>
      <c r="G305">
        <v>1</v>
      </c>
      <c r="H305">
        <v>2021</v>
      </c>
      <c r="I305" t="s">
        <v>355</v>
      </c>
      <c r="J305" t="str">
        <f t="shared" si="8"/>
        <v>Preliminary</v>
      </c>
      <c r="K305">
        <f t="shared" si="9"/>
        <v>1</v>
      </c>
    </row>
    <row r="306" spans="1:11">
      <c r="A306" t="s">
        <v>132</v>
      </c>
      <c r="B306" t="s">
        <v>133</v>
      </c>
      <c r="C306" t="s">
        <v>39</v>
      </c>
      <c r="D306" t="s">
        <v>31</v>
      </c>
      <c r="E306">
        <v>0.125</v>
      </c>
      <c r="F306">
        <v>29</v>
      </c>
      <c r="G306">
        <v>2</v>
      </c>
      <c r="H306">
        <v>2021</v>
      </c>
      <c r="I306" t="s">
        <v>355</v>
      </c>
      <c r="J306" t="str">
        <f t="shared" si="8"/>
        <v>Preliminary</v>
      </c>
      <c r="K306">
        <f t="shared" si="9"/>
        <v>0</v>
      </c>
    </row>
    <row r="307" spans="1:11">
      <c r="A307" t="s">
        <v>356</v>
      </c>
      <c r="B307" t="s">
        <v>357</v>
      </c>
      <c r="C307" t="s">
        <v>12</v>
      </c>
      <c r="D307" t="s">
        <v>17</v>
      </c>
      <c r="E307">
        <v>0.125</v>
      </c>
      <c r="F307">
        <v>11</v>
      </c>
      <c r="G307">
        <v>3</v>
      </c>
      <c r="H307">
        <v>2021</v>
      </c>
      <c r="I307" t="s">
        <v>355</v>
      </c>
      <c r="J307" t="str">
        <f t="shared" si="8"/>
        <v>Preliminary</v>
      </c>
      <c r="K307">
        <f t="shared" si="9"/>
        <v>0</v>
      </c>
    </row>
    <row r="308" spans="1:11">
      <c r="A308" t="s">
        <v>306</v>
      </c>
      <c r="B308" t="s">
        <v>307</v>
      </c>
      <c r="C308" t="s">
        <v>27</v>
      </c>
      <c r="D308" t="s">
        <v>17</v>
      </c>
      <c r="E308">
        <v>0.125</v>
      </c>
      <c r="F308">
        <v>52</v>
      </c>
      <c r="G308">
        <v>1</v>
      </c>
      <c r="H308">
        <v>2021</v>
      </c>
      <c r="I308" t="s">
        <v>358</v>
      </c>
      <c r="J308" t="str">
        <f t="shared" si="8"/>
        <v>Preliminary</v>
      </c>
      <c r="K308">
        <f t="shared" si="9"/>
        <v>1</v>
      </c>
    </row>
    <row r="309" spans="1:11">
      <c r="A309" t="s">
        <v>145</v>
      </c>
      <c r="B309" t="s">
        <v>146</v>
      </c>
      <c r="C309" t="s">
        <v>24</v>
      </c>
      <c r="D309" t="s">
        <v>31</v>
      </c>
      <c r="E309">
        <v>0.125</v>
      </c>
      <c r="F309">
        <v>42</v>
      </c>
      <c r="G309">
        <v>2</v>
      </c>
      <c r="H309">
        <v>2021</v>
      </c>
      <c r="I309" t="s">
        <v>358</v>
      </c>
      <c r="J309" t="str">
        <f t="shared" si="8"/>
        <v>Preliminary</v>
      </c>
      <c r="K309">
        <f t="shared" si="9"/>
        <v>0</v>
      </c>
    </row>
    <row r="310" spans="1:11">
      <c r="A310" t="s">
        <v>52</v>
      </c>
      <c r="B310" t="s">
        <v>53</v>
      </c>
      <c r="C310" t="s">
        <v>20</v>
      </c>
      <c r="D310" t="s">
        <v>13</v>
      </c>
      <c r="E310">
        <v>0.125</v>
      </c>
      <c r="F310">
        <v>24</v>
      </c>
      <c r="G310">
        <v>3</v>
      </c>
      <c r="H310">
        <v>2021</v>
      </c>
      <c r="I310" t="s">
        <v>358</v>
      </c>
      <c r="J310" t="str">
        <f t="shared" si="8"/>
        <v>Preliminary</v>
      </c>
      <c r="K310">
        <f t="shared" si="9"/>
        <v>0</v>
      </c>
    </row>
    <row r="311" spans="1:11">
      <c r="A311" t="s">
        <v>277</v>
      </c>
      <c r="B311" t="s">
        <v>278</v>
      </c>
      <c r="C311" t="s">
        <v>118</v>
      </c>
      <c r="D311" t="s">
        <v>17</v>
      </c>
      <c r="E311">
        <v>0.125</v>
      </c>
      <c r="F311">
        <v>37</v>
      </c>
      <c r="G311">
        <v>1</v>
      </c>
      <c r="H311">
        <v>2021</v>
      </c>
      <c r="I311" t="s">
        <v>359</v>
      </c>
      <c r="J311" t="str">
        <f t="shared" si="8"/>
        <v>Preliminary</v>
      </c>
      <c r="K311">
        <f t="shared" si="9"/>
        <v>1</v>
      </c>
    </row>
    <row r="312" spans="1:11">
      <c r="A312" t="s">
        <v>295</v>
      </c>
      <c r="B312" t="s">
        <v>296</v>
      </c>
      <c r="C312" t="s">
        <v>24</v>
      </c>
      <c r="D312" t="s">
        <v>17</v>
      </c>
      <c r="E312">
        <v>0.125</v>
      </c>
      <c r="F312">
        <v>36</v>
      </c>
      <c r="G312">
        <v>2</v>
      </c>
      <c r="H312">
        <v>2021</v>
      </c>
      <c r="I312" t="s">
        <v>359</v>
      </c>
      <c r="J312" t="str">
        <f t="shared" si="8"/>
        <v>Preliminary</v>
      </c>
      <c r="K312">
        <f t="shared" si="9"/>
        <v>0</v>
      </c>
    </row>
    <row r="313" spans="1:11">
      <c r="A313" t="s">
        <v>147</v>
      </c>
      <c r="B313" t="s">
        <v>148</v>
      </c>
      <c r="C313" t="s">
        <v>24</v>
      </c>
      <c r="D313" t="s">
        <v>17</v>
      </c>
      <c r="E313">
        <v>0.125</v>
      </c>
      <c r="F313">
        <v>16</v>
      </c>
      <c r="G313">
        <v>3</v>
      </c>
      <c r="H313">
        <v>2021</v>
      </c>
      <c r="I313" t="s">
        <v>359</v>
      </c>
      <c r="J313" t="str">
        <f t="shared" si="8"/>
        <v>Preliminary</v>
      </c>
      <c r="K313">
        <f t="shared" si="9"/>
        <v>0</v>
      </c>
    </row>
    <row r="314" spans="1:11">
      <c r="A314" t="s">
        <v>160</v>
      </c>
      <c r="B314" t="s">
        <v>161</v>
      </c>
      <c r="C314" t="s">
        <v>24</v>
      </c>
      <c r="D314" t="s">
        <v>13</v>
      </c>
      <c r="E314">
        <v>0.125</v>
      </c>
      <c r="F314">
        <v>45</v>
      </c>
      <c r="G314">
        <v>1</v>
      </c>
      <c r="H314">
        <v>2021</v>
      </c>
      <c r="I314" t="s">
        <v>360</v>
      </c>
      <c r="J314" t="str">
        <f t="shared" si="8"/>
        <v>Preliminary</v>
      </c>
      <c r="K314">
        <f t="shared" si="9"/>
        <v>1</v>
      </c>
    </row>
    <row r="315" spans="1:11">
      <c r="A315" t="s">
        <v>57</v>
      </c>
      <c r="B315" t="s">
        <v>58</v>
      </c>
      <c r="C315" t="s">
        <v>20</v>
      </c>
      <c r="D315" t="s">
        <v>13</v>
      </c>
      <c r="E315">
        <v>0.125</v>
      </c>
      <c r="F315">
        <v>30</v>
      </c>
      <c r="G315">
        <v>2</v>
      </c>
      <c r="H315">
        <v>2021</v>
      </c>
      <c r="I315" t="s">
        <v>360</v>
      </c>
      <c r="J315" t="str">
        <f t="shared" si="8"/>
        <v>Preliminary</v>
      </c>
      <c r="K315">
        <f t="shared" si="9"/>
        <v>0</v>
      </c>
    </row>
    <row r="316" spans="1:11">
      <c r="A316" t="s">
        <v>69</v>
      </c>
      <c r="B316" t="s">
        <v>70</v>
      </c>
      <c r="C316" t="s">
        <v>27</v>
      </c>
      <c r="D316" t="s">
        <v>13</v>
      </c>
      <c r="E316">
        <v>0.125</v>
      </c>
      <c r="F316">
        <v>19</v>
      </c>
      <c r="G316">
        <v>3</v>
      </c>
      <c r="H316">
        <v>2021</v>
      </c>
      <c r="I316" t="s">
        <v>360</v>
      </c>
      <c r="J316" t="str">
        <f t="shared" si="8"/>
        <v>Preliminary</v>
      </c>
      <c r="K316">
        <f t="shared" si="9"/>
        <v>0</v>
      </c>
    </row>
    <row r="317" spans="1:11">
      <c r="A317" t="s">
        <v>197</v>
      </c>
      <c r="B317" t="s">
        <v>198</v>
      </c>
      <c r="C317" t="s">
        <v>39</v>
      </c>
      <c r="D317" t="s">
        <v>13</v>
      </c>
      <c r="E317">
        <v>0.125</v>
      </c>
      <c r="F317">
        <v>65</v>
      </c>
      <c r="G317">
        <v>1</v>
      </c>
      <c r="H317">
        <v>2021</v>
      </c>
      <c r="I317" t="s">
        <v>361</v>
      </c>
      <c r="J317" t="str">
        <f t="shared" si="8"/>
        <v>Preliminary</v>
      </c>
      <c r="K317">
        <f t="shared" si="9"/>
        <v>1</v>
      </c>
    </row>
    <row r="318" spans="1:11">
      <c r="A318" t="s">
        <v>101</v>
      </c>
      <c r="B318" t="s">
        <v>102</v>
      </c>
      <c r="C318" t="s">
        <v>74</v>
      </c>
      <c r="D318" t="s">
        <v>31</v>
      </c>
      <c r="E318">
        <v>0.125</v>
      </c>
      <c r="F318">
        <v>29</v>
      </c>
      <c r="G318">
        <v>2</v>
      </c>
      <c r="H318">
        <v>2021</v>
      </c>
      <c r="I318" t="s">
        <v>361</v>
      </c>
      <c r="J318" t="str">
        <f t="shared" si="8"/>
        <v>Preliminary</v>
      </c>
      <c r="K318">
        <f t="shared" si="9"/>
        <v>0</v>
      </c>
    </row>
    <row r="319" spans="1:11">
      <c r="A319" t="s">
        <v>247</v>
      </c>
      <c r="B319" t="s">
        <v>248</v>
      </c>
      <c r="C319" t="s">
        <v>195</v>
      </c>
      <c r="D319" t="s">
        <v>13</v>
      </c>
      <c r="E319">
        <v>0.125</v>
      </c>
      <c r="F319">
        <v>29</v>
      </c>
      <c r="G319">
        <v>3</v>
      </c>
      <c r="H319">
        <v>2021</v>
      </c>
      <c r="I319" t="s">
        <v>361</v>
      </c>
      <c r="J319" t="str">
        <f t="shared" si="8"/>
        <v>Preliminary</v>
      </c>
      <c r="K319">
        <f t="shared" si="9"/>
        <v>0</v>
      </c>
    </row>
    <row r="320" spans="1:11">
      <c r="A320" t="s">
        <v>81</v>
      </c>
      <c r="B320" t="s">
        <v>82</v>
      </c>
      <c r="C320" t="s">
        <v>24</v>
      </c>
      <c r="D320" t="s">
        <v>13</v>
      </c>
      <c r="E320">
        <v>0.125</v>
      </c>
      <c r="F320">
        <v>64</v>
      </c>
      <c r="G320">
        <v>1</v>
      </c>
      <c r="H320">
        <v>2021</v>
      </c>
      <c r="I320" t="s">
        <v>362</v>
      </c>
      <c r="J320" t="str">
        <f t="shared" si="8"/>
        <v>Preliminary</v>
      </c>
      <c r="K320">
        <f t="shared" si="9"/>
        <v>1</v>
      </c>
    </row>
    <row r="321" spans="1:11">
      <c r="A321" t="s">
        <v>178</v>
      </c>
      <c r="B321" t="s">
        <v>179</v>
      </c>
      <c r="C321" t="s">
        <v>12</v>
      </c>
      <c r="D321" t="s">
        <v>13</v>
      </c>
      <c r="E321">
        <v>0.125</v>
      </c>
      <c r="F321">
        <v>41</v>
      </c>
      <c r="G321">
        <v>2</v>
      </c>
      <c r="H321">
        <v>2021</v>
      </c>
      <c r="I321" t="s">
        <v>362</v>
      </c>
      <c r="J321" t="str">
        <f t="shared" si="8"/>
        <v>Preliminary</v>
      </c>
      <c r="K321">
        <f t="shared" si="9"/>
        <v>0</v>
      </c>
    </row>
    <row r="322" spans="1:11">
      <c r="A322" t="s">
        <v>111</v>
      </c>
      <c r="B322" t="s">
        <v>112</v>
      </c>
      <c r="C322" t="s">
        <v>27</v>
      </c>
      <c r="D322" t="s">
        <v>17</v>
      </c>
      <c r="E322">
        <v>0.125</v>
      </c>
      <c r="F322">
        <v>26</v>
      </c>
      <c r="G322">
        <v>3</v>
      </c>
      <c r="H322">
        <v>2021</v>
      </c>
      <c r="I322" t="s">
        <v>362</v>
      </c>
      <c r="J322" t="str">
        <f t="shared" si="8"/>
        <v>Preliminary</v>
      </c>
      <c r="K322">
        <f t="shared" si="9"/>
        <v>0</v>
      </c>
    </row>
    <row r="323" spans="1:11">
      <c r="A323" t="s">
        <v>32</v>
      </c>
      <c r="B323" t="s">
        <v>33</v>
      </c>
      <c r="C323" t="s">
        <v>20</v>
      </c>
      <c r="D323" t="s">
        <v>31</v>
      </c>
      <c r="E323">
        <v>0.125</v>
      </c>
      <c r="F323">
        <v>46</v>
      </c>
      <c r="G323">
        <v>1</v>
      </c>
      <c r="H323">
        <v>2021</v>
      </c>
      <c r="I323" t="s">
        <v>363</v>
      </c>
      <c r="J323" t="str">
        <f t="shared" ref="J323:J386" si="10">IF(E323=1,"Final",IF(E323=0.5,"Semifinal",IF(E323=0.25,"Quarterfinal",IF(E323=0.125,"Preliminary","Unknown"))))</f>
        <v>Preliminary</v>
      </c>
      <c r="K323">
        <f t="shared" ref="K323:K386" si="11">IF(G323=1,1,0)</f>
        <v>1</v>
      </c>
    </row>
    <row r="324" spans="1:11">
      <c r="A324" t="s">
        <v>207</v>
      </c>
      <c r="B324" t="s">
        <v>208</v>
      </c>
      <c r="C324" t="s">
        <v>20</v>
      </c>
      <c r="D324" t="s">
        <v>13</v>
      </c>
      <c r="E324">
        <v>0.125</v>
      </c>
      <c r="F324">
        <v>45</v>
      </c>
      <c r="G324">
        <v>2</v>
      </c>
      <c r="H324">
        <v>2021</v>
      </c>
      <c r="I324" t="s">
        <v>363</v>
      </c>
      <c r="J324" t="str">
        <f t="shared" si="10"/>
        <v>Preliminary</v>
      </c>
      <c r="K324">
        <f t="shared" si="11"/>
        <v>0</v>
      </c>
    </row>
    <row r="325" spans="1:11">
      <c r="A325" t="s">
        <v>48</v>
      </c>
      <c r="B325" t="s">
        <v>49</v>
      </c>
      <c r="C325" t="s">
        <v>50</v>
      </c>
      <c r="D325" t="s">
        <v>13</v>
      </c>
      <c r="E325">
        <v>0.125</v>
      </c>
      <c r="F325">
        <v>20</v>
      </c>
      <c r="G325">
        <v>3</v>
      </c>
      <c r="H325">
        <v>2021</v>
      </c>
      <c r="I325" t="s">
        <v>363</v>
      </c>
      <c r="J325" t="str">
        <f t="shared" si="10"/>
        <v>Preliminary</v>
      </c>
      <c r="K325">
        <f t="shared" si="11"/>
        <v>0</v>
      </c>
    </row>
    <row r="326" spans="1:11">
      <c r="A326" t="s">
        <v>25</v>
      </c>
      <c r="B326" t="s">
        <v>26</v>
      </c>
      <c r="C326" t="s">
        <v>27</v>
      </c>
      <c r="D326" t="s">
        <v>17</v>
      </c>
      <c r="E326">
        <v>0.125</v>
      </c>
      <c r="F326">
        <v>53</v>
      </c>
      <c r="G326">
        <v>1</v>
      </c>
      <c r="H326">
        <v>2021</v>
      </c>
      <c r="I326" t="s">
        <v>364</v>
      </c>
      <c r="J326" t="str">
        <f t="shared" si="10"/>
        <v>Preliminary</v>
      </c>
      <c r="K326">
        <f t="shared" si="11"/>
        <v>1</v>
      </c>
    </row>
    <row r="327" spans="1:11">
      <c r="A327" t="s">
        <v>155</v>
      </c>
      <c r="B327" t="s">
        <v>156</v>
      </c>
      <c r="C327" t="s">
        <v>20</v>
      </c>
      <c r="D327" t="s">
        <v>17</v>
      </c>
      <c r="E327">
        <v>0.125</v>
      </c>
      <c r="F327">
        <v>27</v>
      </c>
      <c r="G327">
        <v>2</v>
      </c>
      <c r="H327">
        <v>2021</v>
      </c>
      <c r="I327" t="s">
        <v>364</v>
      </c>
      <c r="J327" t="str">
        <f t="shared" si="10"/>
        <v>Preliminary</v>
      </c>
      <c r="K327">
        <f t="shared" si="11"/>
        <v>0</v>
      </c>
    </row>
    <row r="328" spans="1:11">
      <c r="A328" t="s">
        <v>191</v>
      </c>
      <c r="B328" t="s">
        <v>192</v>
      </c>
      <c r="C328" t="s">
        <v>20</v>
      </c>
      <c r="D328" t="s">
        <v>17</v>
      </c>
      <c r="E328">
        <v>0.125</v>
      </c>
      <c r="F328">
        <v>23</v>
      </c>
      <c r="G328">
        <v>3</v>
      </c>
      <c r="H328">
        <v>2021</v>
      </c>
      <c r="I328" t="s">
        <v>364</v>
      </c>
      <c r="J328" t="str">
        <f t="shared" si="10"/>
        <v>Preliminary</v>
      </c>
      <c r="K328">
        <f t="shared" si="11"/>
        <v>0</v>
      </c>
    </row>
    <row r="329" spans="1:11">
      <c r="A329" t="s">
        <v>46</v>
      </c>
      <c r="B329" t="s">
        <v>47</v>
      </c>
      <c r="C329" t="s">
        <v>12</v>
      </c>
      <c r="D329" t="s">
        <v>13</v>
      </c>
      <c r="E329">
        <v>0.125</v>
      </c>
      <c r="F329">
        <v>61</v>
      </c>
      <c r="G329">
        <v>1</v>
      </c>
      <c r="H329">
        <v>2021</v>
      </c>
      <c r="I329" t="s">
        <v>365</v>
      </c>
      <c r="J329" t="str">
        <f t="shared" si="10"/>
        <v>Preliminary</v>
      </c>
      <c r="K329">
        <f t="shared" si="11"/>
        <v>1</v>
      </c>
    </row>
    <row r="330" spans="1:11">
      <c r="A330" t="s">
        <v>109</v>
      </c>
      <c r="B330" t="s">
        <v>110</v>
      </c>
      <c r="C330" t="s">
        <v>39</v>
      </c>
      <c r="D330" t="s">
        <v>17</v>
      </c>
      <c r="E330">
        <v>0.125</v>
      </c>
      <c r="F330">
        <v>41</v>
      </c>
      <c r="G330">
        <v>2</v>
      </c>
      <c r="H330">
        <v>2021</v>
      </c>
      <c r="I330" t="s">
        <v>365</v>
      </c>
      <c r="J330" t="str">
        <f t="shared" si="10"/>
        <v>Preliminary</v>
      </c>
      <c r="K330">
        <f t="shared" si="11"/>
        <v>0</v>
      </c>
    </row>
    <row r="331" spans="1:11">
      <c r="A331" t="s">
        <v>254</v>
      </c>
      <c r="B331" t="s">
        <v>255</v>
      </c>
      <c r="C331" t="s">
        <v>50</v>
      </c>
      <c r="D331" t="s">
        <v>17</v>
      </c>
      <c r="E331">
        <v>0.125</v>
      </c>
      <c r="F331">
        <v>24</v>
      </c>
      <c r="G331">
        <v>3</v>
      </c>
      <c r="H331">
        <v>2021</v>
      </c>
      <c r="I331" t="s">
        <v>365</v>
      </c>
      <c r="J331" t="str">
        <f t="shared" si="10"/>
        <v>Preliminary</v>
      </c>
      <c r="K331">
        <f t="shared" si="11"/>
        <v>0</v>
      </c>
    </row>
    <row r="332" spans="1:11">
      <c r="A332" t="s">
        <v>62</v>
      </c>
      <c r="B332" t="s">
        <v>63</v>
      </c>
      <c r="C332" t="s">
        <v>20</v>
      </c>
      <c r="D332" t="s">
        <v>17</v>
      </c>
      <c r="E332">
        <v>0.125</v>
      </c>
      <c r="F332">
        <v>51</v>
      </c>
      <c r="G332">
        <v>1</v>
      </c>
      <c r="H332">
        <v>2021</v>
      </c>
      <c r="I332" t="s">
        <v>366</v>
      </c>
      <c r="J332" t="str">
        <f t="shared" si="10"/>
        <v>Preliminary</v>
      </c>
      <c r="K332">
        <f t="shared" si="11"/>
        <v>1</v>
      </c>
    </row>
    <row r="333" spans="1:11">
      <c r="A333" t="s">
        <v>114</v>
      </c>
      <c r="B333" t="s">
        <v>115</v>
      </c>
      <c r="C333" t="s">
        <v>12</v>
      </c>
      <c r="D333" t="s">
        <v>17</v>
      </c>
      <c r="E333">
        <v>0.125</v>
      </c>
      <c r="F333">
        <v>34</v>
      </c>
      <c r="G333">
        <v>2</v>
      </c>
      <c r="H333">
        <v>2021</v>
      </c>
      <c r="I333" t="s">
        <v>366</v>
      </c>
      <c r="J333" t="str">
        <f t="shared" si="10"/>
        <v>Preliminary</v>
      </c>
      <c r="K333">
        <f t="shared" si="11"/>
        <v>0</v>
      </c>
    </row>
    <row r="334" spans="1:11">
      <c r="A334" t="s">
        <v>367</v>
      </c>
      <c r="B334" t="s">
        <v>368</v>
      </c>
      <c r="C334" t="s">
        <v>27</v>
      </c>
      <c r="D334" t="s">
        <v>17</v>
      </c>
      <c r="E334">
        <v>0.125</v>
      </c>
      <c r="F334">
        <v>23</v>
      </c>
      <c r="G334">
        <v>3</v>
      </c>
      <c r="H334">
        <v>2021</v>
      </c>
      <c r="I334" t="s">
        <v>366</v>
      </c>
      <c r="J334" t="str">
        <f t="shared" si="10"/>
        <v>Preliminary</v>
      </c>
      <c r="K334">
        <f t="shared" si="11"/>
        <v>0</v>
      </c>
    </row>
    <row r="335" spans="1:11">
      <c r="A335" t="s">
        <v>137</v>
      </c>
      <c r="B335" t="s">
        <v>138</v>
      </c>
      <c r="C335" t="s">
        <v>27</v>
      </c>
      <c r="D335" t="s">
        <v>31</v>
      </c>
      <c r="E335">
        <v>0.125</v>
      </c>
      <c r="F335">
        <v>37</v>
      </c>
      <c r="G335">
        <v>1</v>
      </c>
      <c r="H335">
        <v>2021</v>
      </c>
      <c r="I335" t="s">
        <v>369</v>
      </c>
      <c r="J335" t="str">
        <f t="shared" si="10"/>
        <v>Preliminary</v>
      </c>
      <c r="K335">
        <f t="shared" si="11"/>
        <v>1</v>
      </c>
    </row>
    <row r="336" spans="1:11">
      <c r="A336" t="s">
        <v>280</v>
      </c>
      <c r="B336" t="s">
        <v>281</v>
      </c>
      <c r="C336" t="s">
        <v>39</v>
      </c>
      <c r="D336" t="s">
        <v>17</v>
      </c>
      <c r="E336">
        <v>0.125</v>
      </c>
      <c r="F336">
        <v>27</v>
      </c>
      <c r="G336">
        <v>2</v>
      </c>
      <c r="H336">
        <v>2021</v>
      </c>
      <c r="I336" t="s">
        <v>369</v>
      </c>
      <c r="J336" t="str">
        <f t="shared" si="10"/>
        <v>Preliminary</v>
      </c>
      <c r="K336">
        <f t="shared" si="11"/>
        <v>0</v>
      </c>
    </row>
    <row r="337" spans="1:11">
      <c r="A337" t="s">
        <v>94</v>
      </c>
      <c r="B337" t="s">
        <v>95</v>
      </c>
      <c r="C337" t="s">
        <v>20</v>
      </c>
      <c r="D337" t="s">
        <v>17</v>
      </c>
      <c r="E337">
        <v>0.125</v>
      </c>
      <c r="F337">
        <v>26</v>
      </c>
      <c r="G337">
        <v>3</v>
      </c>
      <c r="H337">
        <v>2021</v>
      </c>
      <c r="I337" t="s">
        <v>369</v>
      </c>
      <c r="J337" t="str">
        <f t="shared" si="10"/>
        <v>Preliminary</v>
      </c>
      <c r="K337">
        <f t="shared" si="11"/>
        <v>0</v>
      </c>
    </row>
    <row r="338" spans="1:11">
      <c r="A338" t="s">
        <v>222</v>
      </c>
      <c r="B338" t="s">
        <v>223</v>
      </c>
      <c r="C338" t="s">
        <v>20</v>
      </c>
      <c r="D338" t="s">
        <v>17</v>
      </c>
      <c r="E338">
        <v>0.125</v>
      </c>
      <c r="F338">
        <v>40</v>
      </c>
      <c r="G338">
        <v>1</v>
      </c>
      <c r="H338">
        <v>2021</v>
      </c>
      <c r="I338" t="s">
        <v>370</v>
      </c>
      <c r="J338" t="str">
        <f t="shared" si="10"/>
        <v>Preliminary</v>
      </c>
      <c r="K338">
        <f t="shared" si="11"/>
        <v>1</v>
      </c>
    </row>
    <row r="339" spans="1:11">
      <c r="A339" t="s">
        <v>371</v>
      </c>
      <c r="B339" t="s">
        <v>372</v>
      </c>
      <c r="C339" t="s">
        <v>27</v>
      </c>
      <c r="D339" t="s">
        <v>17</v>
      </c>
      <c r="E339">
        <v>0.125</v>
      </c>
      <c r="F339">
        <v>25</v>
      </c>
      <c r="G339">
        <v>2</v>
      </c>
      <c r="H339">
        <v>2021</v>
      </c>
      <c r="I339" t="s">
        <v>370</v>
      </c>
      <c r="J339" t="str">
        <f t="shared" si="10"/>
        <v>Preliminary</v>
      </c>
      <c r="K339">
        <f t="shared" si="11"/>
        <v>0</v>
      </c>
    </row>
    <row r="340" spans="1:11">
      <c r="A340" t="s">
        <v>373</v>
      </c>
      <c r="B340" t="s">
        <v>374</v>
      </c>
      <c r="C340" t="s">
        <v>39</v>
      </c>
      <c r="D340" t="s">
        <v>17</v>
      </c>
      <c r="E340">
        <v>0.125</v>
      </c>
      <c r="F340">
        <v>17</v>
      </c>
      <c r="G340">
        <v>3</v>
      </c>
      <c r="H340">
        <v>2021</v>
      </c>
      <c r="I340" t="s">
        <v>370</v>
      </c>
      <c r="J340" t="str">
        <f t="shared" si="10"/>
        <v>Preliminary</v>
      </c>
      <c r="K340">
        <f t="shared" si="11"/>
        <v>0</v>
      </c>
    </row>
    <row r="341" spans="1:11">
      <c r="A341" t="s">
        <v>152</v>
      </c>
      <c r="B341" t="s">
        <v>153</v>
      </c>
      <c r="C341" t="s">
        <v>24</v>
      </c>
      <c r="D341" t="s">
        <v>17</v>
      </c>
      <c r="E341">
        <v>0.125</v>
      </c>
      <c r="F341">
        <v>42</v>
      </c>
      <c r="G341">
        <v>1</v>
      </c>
      <c r="H341">
        <v>2021</v>
      </c>
      <c r="I341" t="s">
        <v>375</v>
      </c>
      <c r="J341" t="str">
        <f t="shared" si="10"/>
        <v>Preliminary</v>
      </c>
      <c r="K341">
        <f t="shared" si="11"/>
        <v>1</v>
      </c>
    </row>
    <row r="342" spans="1:11">
      <c r="A342" t="s">
        <v>376</v>
      </c>
      <c r="B342" t="s">
        <v>377</v>
      </c>
      <c r="C342" t="s">
        <v>20</v>
      </c>
      <c r="D342" t="s">
        <v>17</v>
      </c>
      <c r="E342">
        <v>0.125</v>
      </c>
      <c r="F342">
        <v>33</v>
      </c>
      <c r="G342">
        <v>2</v>
      </c>
      <c r="H342">
        <v>2021</v>
      </c>
      <c r="I342" t="s">
        <v>375</v>
      </c>
      <c r="J342" t="str">
        <f t="shared" si="10"/>
        <v>Preliminary</v>
      </c>
      <c r="K342">
        <f t="shared" si="11"/>
        <v>0</v>
      </c>
    </row>
    <row r="343" spans="1:11">
      <c r="A343" t="s">
        <v>260</v>
      </c>
      <c r="B343" t="s">
        <v>261</v>
      </c>
      <c r="C343" t="s">
        <v>80</v>
      </c>
      <c r="D343" t="s">
        <v>17</v>
      </c>
      <c r="E343">
        <v>0.125</v>
      </c>
      <c r="F343">
        <v>31</v>
      </c>
      <c r="G343">
        <v>3</v>
      </c>
      <c r="H343">
        <v>2021</v>
      </c>
      <c r="I343" t="s">
        <v>375</v>
      </c>
      <c r="J343" t="str">
        <f t="shared" si="10"/>
        <v>Preliminary</v>
      </c>
      <c r="K343">
        <f t="shared" si="11"/>
        <v>0</v>
      </c>
    </row>
    <row r="344" spans="1:11">
      <c r="A344" t="s">
        <v>10</v>
      </c>
      <c r="B344" t="s">
        <v>11</v>
      </c>
      <c r="C344" t="s">
        <v>12</v>
      </c>
      <c r="D344" t="s">
        <v>13</v>
      </c>
      <c r="E344">
        <v>0.125</v>
      </c>
      <c r="F344">
        <v>71</v>
      </c>
      <c r="G344">
        <v>1</v>
      </c>
      <c r="H344">
        <v>2021</v>
      </c>
      <c r="I344" t="s">
        <v>378</v>
      </c>
      <c r="J344" t="str">
        <f t="shared" si="10"/>
        <v>Preliminary</v>
      </c>
      <c r="K344">
        <f t="shared" si="11"/>
        <v>1</v>
      </c>
    </row>
    <row r="345" spans="1:11">
      <c r="A345" t="s">
        <v>170</v>
      </c>
      <c r="B345" t="s">
        <v>171</v>
      </c>
      <c r="C345" t="s">
        <v>50</v>
      </c>
      <c r="D345" t="s">
        <v>13</v>
      </c>
      <c r="E345">
        <v>0.125</v>
      </c>
      <c r="F345">
        <v>27</v>
      </c>
      <c r="G345">
        <v>2</v>
      </c>
      <c r="H345">
        <v>2021</v>
      </c>
      <c r="I345" t="s">
        <v>378</v>
      </c>
      <c r="J345" t="str">
        <f t="shared" si="10"/>
        <v>Preliminary</v>
      </c>
      <c r="K345">
        <f t="shared" si="11"/>
        <v>0</v>
      </c>
    </row>
    <row r="346" spans="1:11">
      <c r="A346" t="s">
        <v>379</v>
      </c>
      <c r="B346" t="s">
        <v>380</v>
      </c>
      <c r="C346" t="s">
        <v>80</v>
      </c>
      <c r="D346" t="s">
        <v>17</v>
      </c>
      <c r="E346">
        <v>0.125</v>
      </c>
      <c r="F346">
        <v>26</v>
      </c>
      <c r="G346">
        <v>3</v>
      </c>
      <c r="H346">
        <v>2021</v>
      </c>
      <c r="I346" t="s">
        <v>378</v>
      </c>
      <c r="J346" t="str">
        <f t="shared" si="10"/>
        <v>Preliminary</v>
      </c>
      <c r="K346">
        <f t="shared" si="11"/>
        <v>0</v>
      </c>
    </row>
    <row r="347" spans="1:11">
      <c r="A347" t="s">
        <v>37</v>
      </c>
      <c r="B347" t="s">
        <v>38</v>
      </c>
      <c r="C347" t="s">
        <v>39</v>
      </c>
      <c r="D347" t="s">
        <v>13</v>
      </c>
      <c r="E347">
        <v>0.125</v>
      </c>
      <c r="F347">
        <v>38</v>
      </c>
      <c r="G347">
        <v>1</v>
      </c>
      <c r="H347">
        <v>2021</v>
      </c>
      <c r="I347" t="s">
        <v>381</v>
      </c>
      <c r="J347" t="str">
        <f t="shared" si="10"/>
        <v>Preliminary</v>
      </c>
      <c r="K347">
        <f t="shared" si="11"/>
        <v>1</v>
      </c>
    </row>
    <row r="348" spans="1:11">
      <c r="A348" t="s">
        <v>41</v>
      </c>
      <c r="B348" t="s">
        <v>42</v>
      </c>
      <c r="C348" t="s">
        <v>27</v>
      </c>
      <c r="D348" t="s">
        <v>17</v>
      </c>
      <c r="E348">
        <v>0.125</v>
      </c>
      <c r="F348">
        <v>38</v>
      </c>
      <c r="G348">
        <v>2</v>
      </c>
      <c r="H348">
        <v>2021</v>
      </c>
      <c r="I348" t="s">
        <v>381</v>
      </c>
      <c r="J348" t="str">
        <f t="shared" si="10"/>
        <v>Preliminary</v>
      </c>
      <c r="K348">
        <f t="shared" si="11"/>
        <v>0</v>
      </c>
    </row>
    <row r="349" spans="1:11">
      <c r="A349" t="s">
        <v>175</v>
      </c>
      <c r="B349" t="s">
        <v>176</v>
      </c>
      <c r="C349" t="s">
        <v>177</v>
      </c>
      <c r="D349" t="s">
        <v>31</v>
      </c>
      <c r="E349">
        <v>0.125</v>
      </c>
      <c r="F349">
        <v>34</v>
      </c>
      <c r="G349">
        <v>3</v>
      </c>
      <c r="H349">
        <v>2021</v>
      </c>
      <c r="I349" t="s">
        <v>381</v>
      </c>
      <c r="J349" t="str">
        <f t="shared" si="10"/>
        <v>Preliminary</v>
      </c>
      <c r="K349">
        <f t="shared" si="11"/>
        <v>0</v>
      </c>
    </row>
    <row r="350" spans="1:11">
      <c r="A350" t="s">
        <v>212</v>
      </c>
      <c r="B350" t="s">
        <v>213</v>
      </c>
      <c r="C350" t="s">
        <v>20</v>
      </c>
      <c r="D350" t="s">
        <v>17</v>
      </c>
      <c r="E350">
        <v>0.125</v>
      </c>
      <c r="F350">
        <v>49</v>
      </c>
      <c r="G350">
        <v>1</v>
      </c>
      <c r="H350">
        <v>2021</v>
      </c>
      <c r="I350" t="s">
        <v>382</v>
      </c>
      <c r="J350" t="str">
        <f t="shared" si="10"/>
        <v>Preliminary</v>
      </c>
      <c r="K350">
        <f t="shared" si="11"/>
        <v>1</v>
      </c>
    </row>
    <row r="351" spans="1:11">
      <c r="A351" t="s">
        <v>89</v>
      </c>
      <c r="B351" t="s">
        <v>90</v>
      </c>
      <c r="C351" t="s">
        <v>50</v>
      </c>
      <c r="D351" t="s">
        <v>31</v>
      </c>
      <c r="E351">
        <v>0.125</v>
      </c>
      <c r="F351">
        <v>31</v>
      </c>
      <c r="G351">
        <v>2</v>
      </c>
      <c r="H351">
        <v>2021</v>
      </c>
      <c r="I351" t="s">
        <v>382</v>
      </c>
      <c r="J351" t="str">
        <f t="shared" si="10"/>
        <v>Preliminary</v>
      </c>
      <c r="K351">
        <f t="shared" si="11"/>
        <v>0</v>
      </c>
    </row>
    <row r="352" spans="1:11">
      <c r="A352" t="s">
        <v>318</v>
      </c>
      <c r="B352" t="s">
        <v>319</v>
      </c>
      <c r="C352" t="s">
        <v>39</v>
      </c>
      <c r="D352" t="s">
        <v>17</v>
      </c>
      <c r="E352">
        <v>0.125</v>
      </c>
      <c r="F352">
        <v>1</v>
      </c>
      <c r="G352">
        <v>3</v>
      </c>
      <c r="H352">
        <v>2021</v>
      </c>
      <c r="I352" t="s">
        <v>382</v>
      </c>
      <c r="J352" t="str">
        <f t="shared" si="10"/>
        <v>Preliminary</v>
      </c>
      <c r="K352">
        <f t="shared" si="11"/>
        <v>0</v>
      </c>
    </row>
    <row r="353" spans="1:11">
      <c r="A353" t="s">
        <v>172</v>
      </c>
      <c r="B353" t="s">
        <v>173</v>
      </c>
      <c r="C353" t="s">
        <v>39</v>
      </c>
      <c r="D353" t="s">
        <v>17</v>
      </c>
      <c r="E353">
        <v>0.125</v>
      </c>
      <c r="F353">
        <v>60</v>
      </c>
      <c r="G353">
        <v>1</v>
      </c>
      <c r="H353">
        <v>2021</v>
      </c>
      <c r="I353" t="s">
        <v>383</v>
      </c>
      <c r="J353" t="str">
        <f t="shared" si="10"/>
        <v>Preliminary</v>
      </c>
      <c r="K353">
        <f t="shared" si="11"/>
        <v>1</v>
      </c>
    </row>
    <row r="354" spans="1:11">
      <c r="A354" t="s">
        <v>142</v>
      </c>
      <c r="B354" t="s">
        <v>143</v>
      </c>
      <c r="C354" t="s">
        <v>24</v>
      </c>
      <c r="D354" t="s">
        <v>17</v>
      </c>
      <c r="E354">
        <v>0.125</v>
      </c>
      <c r="F354">
        <v>36</v>
      </c>
      <c r="G354">
        <v>2</v>
      </c>
      <c r="H354">
        <v>2021</v>
      </c>
      <c r="I354" t="s">
        <v>383</v>
      </c>
      <c r="J354" t="str">
        <f t="shared" si="10"/>
        <v>Preliminary</v>
      </c>
      <c r="K354">
        <f t="shared" si="11"/>
        <v>0</v>
      </c>
    </row>
    <row r="355" spans="1:11">
      <c r="A355" t="s">
        <v>384</v>
      </c>
      <c r="B355" t="s">
        <v>385</v>
      </c>
      <c r="C355" t="s">
        <v>24</v>
      </c>
      <c r="D355" t="s">
        <v>17</v>
      </c>
      <c r="E355">
        <v>0.125</v>
      </c>
      <c r="F355">
        <v>34</v>
      </c>
      <c r="G355">
        <v>3</v>
      </c>
      <c r="H355">
        <v>2021</v>
      </c>
      <c r="I355" t="s">
        <v>383</v>
      </c>
      <c r="J355" t="str">
        <f t="shared" si="10"/>
        <v>Preliminary</v>
      </c>
      <c r="K355">
        <f t="shared" si="11"/>
        <v>0</v>
      </c>
    </row>
    <row r="356" spans="1:11">
      <c r="A356" t="s">
        <v>297</v>
      </c>
      <c r="B356" t="s">
        <v>298</v>
      </c>
      <c r="C356" t="s">
        <v>39</v>
      </c>
      <c r="D356" t="s">
        <v>17</v>
      </c>
      <c r="E356">
        <v>0.125</v>
      </c>
      <c r="F356">
        <v>37</v>
      </c>
      <c r="G356">
        <v>1</v>
      </c>
      <c r="H356">
        <v>2021</v>
      </c>
      <c r="I356" t="s">
        <v>386</v>
      </c>
      <c r="J356" t="str">
        <f t="shared" si="10"/>
        <v>Preliminary</v>
      </c>
      <c r="K356">
        <f t="shared" si="11"/>
        <v>1</v>
      </c>
    </row>
    <row r="357" spans="1:11">
      <c r="A357" t="s">
        <v>387</v>
      </c>
      <c r="B357" t="s">
        <v>388</v>
      </c>
      <c r="C357" t="s">
        <v>50</v>
      </c>
      <c r="D357" t="s">
        <v>17</v>
      </c>
      <c r="E357">
        <v>0.125</v>
      </c>
      <c r="F357">
        <v>36</v>
      </c>
      <c r="G357">
        <v>2</v>
      </c>
      <c r="H357">
        <v>2021</v>
      </c>
      <c r="I357" t="s">
        <v>386</v>
      </c>
      <c r="J357" t="str">
        <f t="shared" si="10"/>
        <v>Preliminary</v>
      </c>
      <c r="K357">
        <f t="shared" si="11"/>
        <v>0</v>
      </c>
    </row>
    <row r="358" spans="1:11">
      <c r="A358" t="s">
        <v>193</v>
      </c>
      <c r="B358" t="s">
        <v>194</v>
      </c>
      <c r="C358" t="s">
        <v>195</v>
      </c>
      <c r="D358" t="s">
        <v>17</v>
      </c>
      <c r="E358">
        <v>0.125</v>
      </c>
      <c r="F358">
        <v>23</v>
      </c>
      <c r="G358">
        <v>3</v>
      </c>
      <c r="H358">
        <v>2021</v>
      </c>
      <c r="I358" t="s">
        <v>386</v>
      </c>
      <c r="J358" t="str">
        <f t="shared" si="10"/>
        <v>Preliminary</v>
      </c>
      <c r="K358">
        <f t="shared" si="11"/>
        <v>0</v>
      </c>
    </row>
    <row r="359" spans="1:11">
      <c r="A359" t="s">
        <v>18</v>
      </c>
      <c r="B359" t="s">
        <v>19</v>
      </c>
      <c r="C359" t="s">
        <v>20</v>
      </c>
      <c r="D359" t="s">
        <v>13</v>
      </c>
      <c r="E359">
        <v>0.125</v>
      </c>
      <c r="F359">
        <v>48</v>
      </c>
      <c r="G359">
        <v>1</v>
      </c>
      <c r="H359">
        <v>2021</v>
      </c>
      <c r="I359" t="s">
        <v>389</v>
      </c>
      <c r="J359" t="str">
        <f t="shared" si="10"/>
        <v>Preliminary</v>
      </c>
      <c r="K359">
        <f t="shared" si="11"/>
        <v>1</v>
      </c>
    </row>
    <row r="360" spans="1:11">
      <c r="A360" t="s">
        <v>67</v>
      </c>
      <c r="B360" t="s">
        <v>68</v>
      </c>
      <c r="C360" t="s">
        <v>39</v>
      </c>
      <c r="D360" t="s">
        <v>17</v>
      </c>
      <c r="E360">
        <v>0.125</v>
      </c>
      <c r="F360">
        <v>43</v>
      </c>
      <c r="G360">
        <v>2</v>
      </c>
      <c r="H360">
        <v>2021</v>
      </c>
      <c r="I360" t="s">
        <v>389</v>
      </c>
      <c r="J360" t="str">
        <f t="shared" si="10"/>
        <v>Preliminary</v>
      </c>
      <c r="K360">
        <f t="shared" si="11"/>
        <v>0</v>
      </c>
    </row>
    <row r="361" spans="1:11">
      <c r="A361" t="s">
        <v>300</v>
      </c>
      <c r="B361" t="s">
        <v>301</v>
      </c>
      <c r="C361" t="s">
        <v>20</v>
      </c>
      <c r="D361" t="s">
        <v>31</v>
      </c>
      <c r="E361">
        <v>0.125</v>
      </c>
      <c r="F361">
        <v>22</v>
      </c>
      <c r="G361">
        <v>3</v>
      </c>
      <c r="H361">
        <v>2021</v>
      </c>
      <c r="I361" t="s">
        <v>389</v>
      </c>
      <c r="J361" t="str">
        <f t="shared" si="10"/>
        <v>Preliminary</v>
      </c>
      <c r="K361">
        <f t="shared" si="11"/>
        <v>0</v>
      </c>
    </row>
    <row r="362" spans="1:11">
      <c r="A362" t="s">
        <v>10</v>
      </c>
      <c r="B362" t="s">
        <v>11</v>
      </c>
      <c r="C362" t="s">
        <v>12</v>
      </c>
      <c r="D362" t="s">
        <v>13</v>
      </c>
      <c r="E362">
        <v>1</v>
      </c>
      <c r="F362">
        <v>36</v>
      </c>
      <c r="G362">
        <v>1</v>
      </c>
      <c r="H362">
        <v>2020</v>
      </c>
      <c r="I362" t="s">
        <v>390</v>
      </c>
      <c r="J362" t="str">
        <f t="shared" si="10"/>
        <v>Final</v>
      </c>
      <c r="K362">
        <f t="shared" si="11"/>
        <v>1</v>
      </c>
    </row>
    <row r="363" spans="1:11">
      <c r="A363" t="s">
        <v>160</v>
      </c>
      <c r="B363" t="s">
        <v>161</v>
      </c>
      <c r="C363" t="s">
        <v>24</v>
      </c>
      <c r="D363" t="s">
        <v>13</v>
      </c>
      <c r="E363">
        <v>1</v>
      </c>
      <c r="F363">
        <v>31</v>
      </c>
      <c r="G363">
        <v>2</v>
      </c>
      <c r="H363">
        <v>2020</v>
      </c>
      <c r="I363" t="s">
        <v>390</v>
      </c>
      <c r="J363" t="str">
        <f t="shared" si="10"/>
        <v>Final</v>
      </c>
      <c r="K363">
        <f t="shared" si="11"/>
        <v>0</v>
      </c>
    </row>
    <row r="364" spans="1:11">
      <c r="A364" t="s">
        <v>18</v>
      </c>
      <c r="B364" t="s">
        <v>19</v>
      </c>
      <c r="C364" t="s">
        <v>20</v>
      </c>
      <c r="D364" t="s">
        <v>13</v>
      </c>
      <c r="E364">
        <v>1</v>
      </c>
      <c r="F364">
        <v>29</v>
      </c>
      <c r="G364">
        <v>3</v>
      </c>
      <c r="H364">
        <v>2020</v>
      </c>
      <c r="I364" t="s">
        <v>390</v>
      </c>
      <c r="J364" t="str">
        <f t="shared" si="10"/>
        <v>Final</v>
      </c>
      <c r="K364">
        <f t="shared" si="11"/>
        <v>0</v>
      </c>
    </row>
    <row r="365" spans="1:11">
      <c r="A365" t="s">
        <v>18</v>
      </c>
      <c r="B365" t="s">
        <v>19</v>
      </c>
      <c r="C365" t="s">
        <v>20</v>
      </c>
      <c r="D365" t="s">
        <v>13</v>
      </c>
      <c r="E365">
        <v>0.5</v>
      </c>
      <c r="F365">
        <v>55</v>
      </c>
      <c r="G365">
        <v>1</v>
      </c>
      <c r="H365">
        <v>2020</v>
      </c>
      <c r="I365" t="s">
        <v>391</v>
      </c>
      <c r="J365" t="str">
        <f t="shared" si="10"/>
        <v>Semifinal</v>
      </c>
      <c r="K365">
        <f t="shared" si="11"/>
        <v>1</v>
      </c>
    </row>
    <row r="366" spans="1:11">
      <c r="A366" t="s">
        <v>46</v>
      </c>
      <c r="B366" t="s">
        <v>47</v>
      </c>
      <c r="C366" t="s">
        <v>12</v>
      </c>
      <c r="D366" t="s">
        <v>13</v>
      </c>
      <c r="E366">
        <v>0.5</v>
      </c>
      <c r="F366">
        <v>39</v>
      </c>
      <c r="G366">
        <v>2</v>
      </c>
      <c r="H366">
        <v>2020</v>
      </c>
      <c r="I366" t="s">
        <v>391</v>
      </c>
      <c r="J366" t="str">
        <f t="shared" si="10"/>
        <v>Semifinal</v>
      </c>
      <c r="K366">
        <f t="shared" si="11"/>
        <v>0</v>
      </c>
    </row>
    <row r="367" spans="1:11">
      <c r="A367" t="s">
        <v>384</v>
      </c>
      <c r="B367" t="s">
        <v>385</v>
      </c>
      <c r="C367" t="s">
        <v>24</v>
      </c>
      <c r="D367" t="s">
        <v>17</v>
      </c>
      <c r="E367">
        <v>0.5</v>
      </c>
      <c r="F367">
        <v>22</v>
      </c>
      <c r="G367">
        <v>3</v>
      </c>
      <c r="H367">
        <v>2020</v>
      </c>
      <c r="I367" t="s">
        <v>391</v>
      </c>
      <c r="J367" t="str">
        <f t="shared" si="10"/>
        <v>Semifinal</v>
      </c>
      <c r="K367">
        <f t="shared" si="11"/>
        <v>0</v>
      </c>
    </row>
    <row r="368" spans="1:11">
      <c r="A368" t="s">
        <v>160</v>
      </c>
      <c r="B368" t="s">
        <v>161</v>
      </c>
      <c r="C368" t="s">
        <v>24</v>
      </c>
      <c r="D368" t="s">
        <v>13</v>
      </c>
      <c r="E368">
        <v>0.5</v>
      </c>
      <c r="F368">
        <v>21</v>
      </c>
      <c r="G368">
        <v>1</v>
      </c>
      <c r="H368">
        <v>2020</v>
      </c>
      <c r="I368" t="s">
        <v>392</v>
      </c>
      <c r="J368" t="str">
        <f t="shared" si="10"/>
        <v>Semifinal</v>
      </c>
      <c r="K368">
        <f t="shared" si="11"/>
        <v>1</v>
      </c>
    </row>
    <row r="369" spans="1:11">
      <c r="A369" t="s">
        <v>15</v>
      </c>
      <c r="B369" t="s">
        <v>16</v>
      </c>
      <c r="C369" t="s">
        <v>12</v>
      </c>
      <c r="D369" t="s">
        <v>17</v>
      </c>
      <c r="E369">
        <v>0.5</v>
      </c>
      <c r="F369">
        <v>20</v>
      </c>
      <c r="G369">
        <v>2</v>
      </c>
      <c r="H369">
        <v>2020</v>
      </c>
      <c r="I369" t="s">
        <v>392</v>
      </c>
      <c r="J369" t="str">
        <f t="shared" si="10"/>
        <v>Semifinal</v>
      </c>
      <c r="K369">
        <f t="shared" si="11"/>
        <v>0</v>
      </c>
    </row>
    <row r="370" spans="1:11">
      <c r="A370" t="s">
        <v>25</v>
      </c>
      <c r="B370" t="s">
        <v>26</v>
      </c>
      <c r="C370" t="s">
        <v>27</v>
      </c>
      <c r="D370" t="s">
        <v>17</v>
      </c>
      <c r="E370">
        <v>0.5</v>
      </c>
      <c r="F370">
        <v>17</v>
      </c>
      <c r="G370">
        <v>3</v>
      </c>
      <c r="H370">
        <v>2020</v>
      </c>
      <c r="I370" t="s">
        <v>392</v>
      </c>
      <c r="J370" t="str">
        <f t="shared" si="10"/>
        <v>Semifinal</v>
      </c>
      <c r="K370">
        <f t="shared" si="11"/>
        <v>0</v>
      </c>
    </row>
    <row r="371" spans="1:11">
      <c r="A371" t="s">
        <v>10</v>
      </c>
      <c r="B371" t="s">
        <v>11</v>
      </c>
      <c r="C371" t="s">
        <v>12</v>
      </c>
      <c r="D371" t="s">
        <v>13</v>
      </c>
      <c r="E371">
        <v>0.5</v>
      </c>
      <c r="F371">
        <v>66</v>
      </c>
      <c r="G371">
        <v>1</v>
      </c>
      <c r="H371">
        <v>2020</v>
      </c>
      <c r="I371" t="s">
        <v>393</v>
      </c>
      <c r="J371" t="str">
        <f t="shared" si="10"/>
        <v>Semifinal</v>
      </c>
      <c r="K371">
        <f t="shared" si="11"/>
        <v>1</v>
      </c>
    </row>
    <row r="372" spans="1:11">
      <c r="A372" t="s">
        <v>212</v>
      </c>
      <c r="B372" t="s">
        <v>213</v>
      </c>
      <c r="C372" t="s">
        <v>20</v>
      </c>
      <c r="D372" t="s">
        <v>17</v>
      </c>
      <c r="E372">
        <v>0.5</v>
      </c>
      <c r="F372">
        <v>38</v>
      </c>
      <c r="G372">
        <v>2</v>
      </c>
      <c r="H372">
        <v>2020</v>
      </c>
      <c r="I372" t="s">
        <v>393</v>
      </c>
      <c r="J372" t="str">
        <f t="shared" si="10"/>
        <v>Semifinal</v>
      </c>
      <c r="K372">
        <f t="shared" si="11"/>
        <v>0</v>
      </c>
    </row>
    <row r="373" spans="1:11">
      <c r="A373" t="s">
        <v>75</v>
      </c>
      <c r="B373" t="s">
        <v>76</v>
      </c>
      <c r="C373" t="s">
        <v>39</v>
      </c>
      <c r="D373" t="s">
        <v>17</v>
      </c>
      <c r="E373">
        <v>0.5</v>
      </c>
      <c r="F373">
        <v>18</v>
      </c>
      <c r="G373">
        <v>3</v>
      </c>
      <c r="H373">
        <v>2020</v>
      </c>
      <c r="I373" t="s">
        <v>393</v>
      </c>
      <c r="J373" t="str">
        <f t="shared" si="10"/>
        <v>Semifinal</v>
      </c>
      <c r="K373">
        <f t="shared" si="11"/>
        <v>0</v>
      </c>
    </row>
    <row r="374" spans="1:11">
      <c r="A374" t="s">
        <v>212</v>
      </c>
      <c r="B374" t="s">
        <v>213</v>
      </c>
      <c r="C374" t="s">
        <v>20</v>
      </c>
      <c r="D374" t="s">
        <v>17</v>
      </c>
      <c r="E374">
        <v>0.25</v>
      </c>
      <c r="F374">
        <v>47</v>
      </c>
      <c r="G374">
        <v>1</v>
      </c>
      <c r="H374">
        <v>2020</v>
      </c>
      <c r="I374" t="s">
        <v>394</v>
      </c>
      <c r="J374" t="str">
        <f t="shared" si="10"/>
        <v>Quarterfinal</v>
      </c>
      <c r="K374">
        <f t="shared" si="11"/>
        <v>1</v>
      </c>
    </row>
    <row r="375" spans="1:11">
      <c r="A375" t="s">
        <v>376</v>
      </c>
      <c r="B375" t="s">
        <v>377</v>
      </c>
      <c r="C375" t="s">
        <v>20</v>
      </c>
      <c r="D375" t="s">
        <v>17</v>
      </c>
      <c r="E375">
        <v>0.25</v>
      </c>
      <c r="F375">
        <v>33</v>
      </c>
      <c r="G375">
        <v>2</v>
      </c>
      <c r="H375">
        <v>2020</v>
      </c>
      <c r="I375" t="s">
        <v>394</v>
      </c>
      <c r="J375" t="str">
        <f t="shared" si="10"/>
        <v>Quarterfinal</v>
      </c>
      <c r="K375">
        <f t="shared" si="11"/>
        <v>0</v>
      </c>
    </row>
    <row r="376" spans="1:11">
      <c r="A376" t="s">
        <v>295</v>
      </c>
      <c r="B376" t="s">
        <v>296</v>
      </c>
      <c r="C376" t="s">
        <v>24</v>
      </c>
      <c r="D376" t="s">
        <v>17</v>
      </c>
      <c r="E376">
        <v>0.25</v>
      </c>
      <c r="F376">
        <v>25</v>
      </c>
      <c r="G376">
        <v>3</v>
      </c>
      <c r="H376">
        <v>2020</v>
      </c>
      <c r="I376" t="s">
        <v>394</v>
      </c>
      <c r="J376" t="str">
        <f t="shared" si="10"/>
        <v>Quarterfinal</v>
      </c>
      <c r="K376">
        <f t="shared" si="11"/>
        <v>0</v>
      </c>
    </row>
    <row r="377" spans="1:11">
      <c r="A377" t="s">
        <v>75</v>
      </c>
      <c r="B377" t="s">
        <v>76</v>
      </c>
      <c r="C377" t="s">
        <v>39</v>
      </c>
      <c r="D377" t="s">
        <v>17</v>
      </c>
      <c r="E377">
        <v>0.25</v>
      </c>
      <c r="F377">
        <v>37</v>
      </c>
      <c r="G377">
        <v>1</v>
      </c>
      <c r="H377">
        <v>2020</v>
      </c>
      <c r="I377" t="s">
        <v>395</v>
      </c>
      <c r="J377" t="str">
        <f t="shared" si="10"/>
        <v>Quarterfinal</v>
      </c>
      <c r="K377">
        <f t="shared" si="11"/>
        <v>1</v>
      </c>
    </row>
    <row r="378" spans="1:11">
      <c r="A378" t="s">
        <v>373</v>
      </c>
      <c r="B378" t="s">
        <v>374</v>
      </c>
      <c r="C378" t="s">
        <v>39</v>
      </c>
      <c r="D378" t="s">
        <v>17</v>
      </c>
      <c r="E378">
        <v>0.25</v>
      </c>
      <c r="F378">
        <v>35</v>
      </c>
      <c r="G378">
        <v>2</v>
      </c>
      <c r="H378">
        <v>2020</v>
      </c>
      <c r="I378" t="s">
        <v>395</v>
      </c>
      <c r="J378" t="str">
        <f t="shared" si="10"/>
        <v>Quarterfinal</v>
      </c>
      <c r="K378">
        <f t="shared" si="11"/>
        <v>0</v>
      </c>
    </row>
    <row r="379" spans="1:11">
      <c r="A379" t="s">
        <v>351</v>
      </c>
      <c r="B379" t="s">
        <v>351</v>
      </c>
      <c r="C379" t="s">
        <v>80</v>
      </c>
      <c r="D379" t="s">
        <v>17</v>
      </c>
      <c r="E379">
        <v>0.25</v>
      </c>
      <c r="F379">
        <v>14</v>
      </c>
      <c r="G379">
        <v>3</v>
      </c>
      <c r="H379">
        <v>2020</v>
      </c>
      <c r="I379" t="s">
        <v>395</v>
      </c>
      <c r="J379" t="str">
        <f t="shared" si="10"/>
        <v>Quarterfinal</v>
      </c>
      <c r="K379">
        <f t="shared" si="11"/>
        <v>0</v>
      </c>
    </row>
    <row r="380" spans="1:11">
      <c r="A380" t="s">
        <v>10</v>
      </c>
      <c r="B380" t="s">
        <v>11</v>
      </c>
      <c r="C380" t="s">
        <v>12</v>
      </c>
      <c r="D380" t="s">
        <v>13</v>
      </c>
      <c r="E380">
        <v>0.25</v>
      </c>
      <c r="F380">
        <v>51</v>
      </c>
      <c r="G380">
        <v>1</v>
      </c>
      <c r="H380">
        <v>2020</v>
      </c>
      <c r="I380" t="s">
        <v>396</v>
      </c>
      <c r="J380" t="str">
        <f t="shared" si="10"/>
        <v>Quarterfinal</v>
      </c>
      <c r="K380">
        <f t="shared" si="11"/>
        <v>1</v>
      </c>
    </row>
    <row r="381" spans="1:11">
      <c r="A381" t="s">
        <v>202</v>
      </c>
      <c r="B381" t="s">
        <v>203</v>
      </c>
      <c r="C381" t="s">
        <v>39</v>
      </c>
      <c r="D381" t="s">
        <v>13</v>
      </c>
      <c r="E381">
        <v>0.25</v>
      </c>
      <c r="F381">
        <v>42</v>
      </c>
      <c r="G381">
        <v>2</v>
      </c>
      <c r="H381">
        <v>2020</v>
      </c>
      <c r="I381" t="s">
        <v>396</v>
      </c>
      <c r="J381" t="str">
        <f t="shared" si="10"/>
        <v>Quarterfinal</v>
      </c>
      <c r="K381">
        <f t="shared" si="11"/>
        <v>0</v>
      </c>
    </row>
    <row r="382" spans="1:11">
      <c r="A382" t="s">
        <v>140</v>
      </c>
      <c r="B382" t="s">
        <v>141</v>
      </c>
      <c r="C382" t="s">
        <v>24</v>
      </c>
      <c r="D382" t="s">
        <v>17</v>
      </c>
      <c r="E382">
        <v>0.25</v>
      </c>
      <c r="F382">
        <v>42</v>
      </c>
      <c r="G382">
        <v>3</v>
      </c>
      <c r="H382">
        <v>2020</v>
      </c>
      <c r="I382" t="s">
        <v>396</v>
      </c>
      <c r="J382" t="str">
        <f t="shared" si="10"/>
        <v>Quarterfinal</v>
      </c>
      <c r="K382">
        <f t="shared" si="11"/>
        <v>0</v>
      </c>
    </row>
    <row r="383" spans="1:11">
      <c r="A383" t="s">
        <v>18</v>
      </c>
      <c r="B383" t="s">
        <v>19</v>
      </c>
      <c r="C383" t="s">
        <v>20</v>
      </c>
      <c r="D383" t="s">
        <v>13</v>
      </c>
      <c r="E383">
        <v>0.25</v>
      </c>
      <c r="F383">
        <v>49</v>
      </c>
      <c r="G383">
        <v>1</v>
      </c>
      <c r="H383">
        <v>2020</v>
      </c>
      <c r="I383" t="s">
        <v>397</v>
      </c>
      <c r="J383" t="str">
        <f t="shared" si="10"/>
        <v>Quarterfinal</v>
      </c>
      <c r="K383">
        <f t="shared" si="11"/>
        <v>1</v>
      </c>
    </row>
    <row r="384" spans="1:11">
      <c r="A384" t="s">
        <v>145</v>
      </c>
      <c r="B384" t="s">
        <v>146</v>
      </c>
      <c r="C384" t="s">
        <v>24</v>
      </c>
      <c r="D384" t="s">
        <v>31</v>
      </c>
      <c r="E384">
        <v>0.25</v>
      </c>
      <c r="F384">
        <v>40</v>
      </c>
      <c r="G384">
        <v>2</v>
      </c>
      <c r="H384">
        <v>2020</v>
      </c>
      <c r="I384" t="s">
        <v>397</v>
      </c>
      <c r="J384" t="str">
        <f t="shared" si="10"/>
        <v>Quarterfinal</v>
      </c>
      <c r="K384">
        <f t="shared" si="11"/>
        <v>0</v>
      </c>
    </row>
    <row r="385" spans="1:11">
      <c r="A385" t="s">
        <v>29</v>
      </c>
      <c r="B385" t="s">
        <v>30</v>
      </c>
      <c r="C385" t="s">
        <v>24</v>
      </c>
      <c r="D385" t="s">
        <v>31</v>
      </c>
      <c r="E385">
        <v>0.25</v>
      </c>
      <c r="F385">
        <v>37</v>
      </c>
      <c r="G385">
        <v>3</v>
      </c>
      <c r="H385">
        <v>2020</v>
      </c>
      <c r="I385" t="s">
        <v>397</v>
      </c>
      <c r="J385" t="str">
        <f t="shared" si="10"/>
        <v>Quarterfinal</v>
      </c>
      <c r="K385">
        <f t="shared" si="11"/>
        <v>0</v>
      </c>
    </row>
    <row r="386" spans="1:11">
      <c r="A386" t="s">
        <v>384</v>
      </c>
      <c r="B386" t="s">
        <v>385</v>
      </c>
      <c r="C386" t="s">
        <v>24</v>
      </c>
      <c r="D386" t="s">
        <v>17</v>
      </c>
      <c r="E386">
        <v>0.25</v>
      </c>
      <c r="F386">
        <v>29</v>
      </c>
      <c r="G386">
        <v>1</v>
      </c>
      <c r="H386">
        <v>2020</v>
      </c>
      <c r="I386" t="s">
        <v>398</v>
      </c>
      <c r="J386" t="str">
        <f t="shared" si="10"/>
        <v>Quarterfinal</v>
      </c>
      <c r="K386">
        <f t="shared" si="11"/>
        <v>1</v>
      </c>
    </row>
    <row r="387" spans="1:11">
      <c r="A387" t="s">
        <v>356</v>
      </c>
      <c r="B387" t="s">
        <v>357</v>
      </c>
      <c r="C387" t="s">
        <v>12</v>
      </c>
      <c r="D387" t="s">
        <v>17</v>
      </c>
      <c r="E387">
        <v>0.25</v>
      </c>
      <c r="F387">
        <v>24</v>
      </c>
      <c r="G387">
        <v>2</v>
      </c>
      <c r="H387">
        <v>2020</v>
      </c>
      <c r="I387" t="s">
        <v>398</v>
      </c>
      <c r="J387" t="str">
        <f t="shared" ref="J387:J450" si="12">IF(E387=1,"Final",IF(E387=0.5,"Semifinal",IF(E387=0.25,"Quarterfinal",IF(E387=0.125,"Preliminary","Unknown"))))</f>
        <v>Quarterfinal</v>
      </c>
      <c r="K387">
        <f t="shared" ref="K387:K450" si="13">IF(G387=1,1,0)</f>
        <v>0</v>
      </c>
    </row>
    <row r="388" spans="1:11">
      <c r="A388" t="s">
        <v>48</v>
      </c>
      <c r="B388" t="s">
        <v>49</v>
      </c>
      <c r="C388" t="s">
        <v>50</v>
      </c>
      <c r="D388" t="s">
        <v>13</v>
      </c>
      <c r="E388">
        <v>0.25</v>
      </c>
      <c r="F388">
        <v>14</v>
      </c>
      <c r="G388">
        <v>3</v>
      </c>
      <c r="H388">
        <v>2020</v>
      </c>
      <c r="I388" t="s">
        <v>398</v>
      </c>
      <c r="J388" t="str">
        <f t="shared" si="12"/>
        <v>Quarterfinal</v>
      </c>
      <c r="K388">
        <f t="shared" si="13"/>
        <v>0</v>
      </c>
    </row>
    <row r="389" spans="1:11">
      <c r="A389" t="s">
        <v>46</v>
      </c>
      <c r="B389" t="s">
        <v>47</v>
      </c>
      <c r="C389" t="s">
        <v>12</v>
      </c>
      <c r="D389" t="s">
        <v>13</v>
      </c>
      <c r="E389">
        <v>0.25</v>
      </c>
      <c r="F389">
        <v>53</v>
      </c>
      <c r="G389">
        <v>1</v>
      </c>
      <c r="H389">
        <v>2020</v>
      </c>
      <c r="I389" t="s">
        <v>399</v>
      </c>
      <c r="J389" t="str">
        <f t="shared" si="12"/>
        <v>Quarterfinal</v>
      </c>
      <c r="K389">
        <f t="shared" si="13"/>
        <v>1</v>
      </c>
    </row>
    <row r="390" spans="1:11">
      <c r="A390" t="s">
        <v>81</v>
      </c>
      <c r="B390" t="s">
        <v>82</v>
      </c>
      <c r="C390" t="s">
        <v>24</v>
      </c>
      <c r="D390" t="s">
        <v>13</v>
      </c>
      <c r="E390">
        <v>0.25</v>
      </c>
      <c r="F390">
        <v>50</v>
      </c>
      <c r="G390">
        <v>2</v>
      </c>
      <c r="H390">
        <v>2020</v>
      </c>
      <c r="I390" t="s">
        <v>399</v>
      </c>
      <c r="J390" t="str">
        <f t="shared" si="12"/>
        <v>Quarterfinal</v>
      </c>
      <c r="K390">
        <f t="shared" si="13"/>
        <v>0</v>
      </c>
    </row>
    <row r="391" spans="1:11">
      <c r="A391" t="s">
        <v>86</v>
      </c>
      <c r="B391" t="s">
        <v>87</v>
      </c>
      <c r="C391" t="s">
        <v>20</v>
      </c>
      <c r="D391" t="s">
        <v>17</v>
      </c>
      <c r="E391">
        <v>0.25</v>
      </c>
      <c r="F391">
        <v>38</v>
      </c>
      <c r="G391">
        <v>3</v>
      </c>
      <c r="H391">
        <v>2020</v>
      </c>
      <c r="I391" t="s">
        <v>399</v>
      </c>
      <c r="J391" t="str">
        <f t="shared" si="12"/>
        <v>Quarterfinal</v>
      </c>
      <c r="K391">
        <f t="shared" si="13"/>
        <v>0</v>
      </c>
    </row>
    <row r="392" spans="1:11">
      <c r="A392" t="s">
        <v>160</v>
      </c>
      <c r="B392" t="s">
        <v>161</v>
      </c>
      <c r="C392" t="s">
        <v>24</v>
      </c>
      <c r="D392" t="s">
        <v>13</v>
      </c>
      <c r="E392">
        <v>0.25</v>
      </c>
      <c r="F392">
        <v>49</v>
      </c>
      <c r="G392">
        <v>1</v>
      </c>
      <c r="H392">
        <v>2020</v>
      </c>
      <c r="I392" t="s">
        <v>400</v>
      </c>
      <c r="J392" t="str">
        <f t="shared" si="12"/>
        <v>Quarterfinal</v>
      </c>
      <c r="K392">
        <f t="shared" si="13"/>
        <v>1</v>
      </c>
    </row>
    <row r="393" spans="1:11">
      <c r="A393" t="s">
        <v>197</v>
      </c>
      <c r="B393" t="s">
        <v>198</v>
      </c>
      <c r="C393" t="s">
        <v>39</v>
      </c>
      <c r="D393" t="s">
        <v>13</v>
      </c>
      <c r="E393">
        <v>0.25</v>
      </c>
      <c r="F393">
        <v>47</v>
      </c>
      <c r="G393">
        <v>2</v>
      </c>
      <c r="H393">
        <v>2020</v>
      </c>
      <c r="I393" t="s">
        <v>400</v>
      </c>
      <c r="J393" t="str">
        <f t="shared" si="12"/>
        <v>Quarterfinal</v>
      </c>
      <c r="K393">
        <f t="shared" si="13"/>
        <v>0</v>
      </c>
    </row>
    <row r="394" spans="1:11">
      <c r="A394" t="s">
        <v>137</v>
      </c>
      <c r="B394" t="s">
        <v>138</v>
      </c>
      <c r="C394" t="s">
        <v>27</v>
      </c>
      <c r="D394" t="s">
        <v>31</v>
      </c>
      <c r="E394">
        <v>0.25</v>
      </c>
      <c r="F394">
        <v>39</v>
      </c>
      <c r="G394">
        <v>3</v>
      </c>
      <c r="H394">
        <v>2020</v>
      </c>
      <c r="I394" t="s">
        <v>400</v>
      </c>
      <c r="J394" t="str">
        <f t="shared" si="12"/>
        <v>Quarterfinal</v>
      </c>
      <c r="K394">
        <f t="shared" si="13"/>
        <v>0</v>
      </c>
    </row>
    <row r="395" spans="1:11">
      <c r="A395" t="s">
        <v>15</v>
      </c>
      <c r="B395" t="s">
        <v>16</v>
      </c>
      <c r="C395" t="s">
        <v>12</v>
      </c>
      <c r="D395" t="s">
        <v>17</v>
      </c>
      <c r="E395">
        <v>0.25</v>
      </c>
      <c r="F395">
        <v>44</v>
      </c>
      <c r="G395">
        <v>1</v>
      </c>
      <c r="H395">
        <v>2020</v>
      </c>
      <c r="I395" t="s">
        <v>401</v>
      </c>
      <c r="J395" t="str">
        <f t="shared" si="12"/>
        <v>Quarterfinal</v>
      </c>
      <c r="K395">
        <f t="shared" si="13"/>
        <v>1</v>
      </c>
    </row>
    <row r="396" spans="1:11">
      <c r="A396" t="s">
        <v>35</v>
      </c>
      <c r="B396" t="s">
        <v>36</v>
      </c>
      <c r="C396" t="s">
        <v>20</v>
      </c>
      <c r="D396" t="s">
        <v>13</v>
      </c>
      <c r="E396">
        <v>0.25</v>
      </c>
      <c r="F396">
        <v>41</v>
      </c>
      <c r="G396">
        <v>2</v>
      </c>
      <c r="H396">
        <v>2020</v>
      </c>
      <c r="I396" t="s">
        <v>401</v>
      </c>
      <c r="J396" t="str">
        <f t="shared" si="12"/>
        <v>Quarterfinal</v>
      </c>
      <c r="K396">
        <f t="shared" si="13"/>
        <v>0</v>
      </c>
    </row>
    <row r="397" spans="1:11">
      <c r="A397" t="s">
        <v>62</v>
      </c>
      <c r="B397" t="s">
        <v>63</v>
      </c>
      <c r="C397" t="s">
        <v>20</v>
      </c>
      <c r="D397" t="s">
        <v>17</v>
      </c>
      <c r="E397">
        <v>0.25</v>
      </c>
      <c r="F397">
        <v>27</v>
      </c>
      <c r="G397">
        <v>3</v>
      </c>
      <c r="H397">
        <v>2020</v>
      </c>
      <c r="I397" t="s">
        <v>401</v>
      </c>
      <c r="J397" t="str">
        <f t="shared" si="12"/>
        <v>Quarterfinal</v>
      </c>
      <c r="K397">
        <f t="shared" si="13"/>
        <v>0</v>
      </c>
    </row>
    <row r="398" spans="1:11">
      <c r="A398" t="s">
        <v>25</v>
      </c>
      <c r="B398" t="s">
        <v>26</v>
      </c>
      <c r="C398" t="s">
        <v>27</v>
      </c>
      <c r="D398" t="s">
        <v>17</v>
      </c>
      <c r="E398">
        <v>0.25</v>
      </c>
      <c r="F398">
        <v>36</v>
      </c>
      <c r="G398">
        <v>1</v>
      </c>
      <c r="H398">
        <v>2020</v>
      </c>
      <c r="I398" t="s">
        <v>402</v>
      </c>
      <c r="J398" t="str">
        <f t="shared" si="12"/>
        <v>Quarterfinal</v>
      </c>
      <c r="K398">
        <f t="shared" si="13"/>
        <v>1</v>
      </c>
    </row>
    <row r="399" spans="1:11">
      <c r="A399" t="s">
        <v>193</v>
      </c>
      <c r="B399" t="s">
        <v>194</v>
      </c>
      <c r="C399" t="s">
        <v>195</v>
      </c>
      <c r="D399" t="s">
        <v>17</v>
      </c>
      <c r="E399">
        <v>0.25</v>
      </c>
      <c r="F399">
        <v>29</v>
      </c>
      <c r="G399">
        <v>2</v>
      </c>
      <c r="H399">
        <v>2020</v>
      </c>
      <c r="I399" t="s">
        <v>402</v>
      </c>
      <c r="J399" t="str">
        <f t="shared" si="12"/>
        <v>Quarterfinal</v>
      </c>
      <c r="K399">
        <f t="shared" si="13"/>
        <v>0</v>
      </c>
    </row>
    <row r="400" spans="1:11">
      <c r="A400" t="s">
        <v>37</v>
      </c>
      <c r="B400" t="s">
        <v>38</v>
      </c>
      <c r="C400" t="s">
        <v>39</v>
      </c>
      <c r="D400" t="s">
        <v>13</v>
      </c>
      <c r="E400">
        <v>0.25</v>
      </c>
      <c r="F400">
        <v>13</v>
      </c>
      <c r="G400">
        <v>3</v>
      </c>
      <c r="H400">
        <v>2020</v>
      </c>
      <c r="I400" t="s">
        <v>402</v>
      </c>
      <c r="J400" t="str">
        <f t="shared" si="12"/>
        <v>Quarterfinal</v>
      </c>
      <c r="K400">
        <f t="shared" si="13"/>
        <v>0</v>
      </c>
    </row>
    <row r="401" spans="1:11">
      <c r="A401" t="s">
        <v>18</v>
      </c>
      <c r="B401" t="s">
        <v>19</v>
      </c>
      <c r="C401" t="s">
        <v>20</v>
      </c>
      <c r="D401" t="s">
        <v>13</v>
      </c>
      <c r="E401">
        <v>0.125</v>
      </c>
      <c r="F401">
        <v>46</v>
      </c>
      <c r="G401">
        <v>1</v>
      </c>
      <c r="H401">
        <v>2020</v>
      </c>
      <c r="I401" t="s">
        <v>403</v>
      </c>
      <c r="J401" t="str">
        <f t="shared" si="12"/>
        <v>Preliminary</v>
      </c>
      <c r="K401">
        <f t="shared" si="13"/>
        <v>1</v>
      </c>
    </row>
    <row r="402" spans="1:11">
      <c r="A402" t="s">
        <v>404</v>
      </c>
      <c r="B402" t="s">
        <v>404</v>
      </c>
      <c r="C402" t="s">
        <v>20</v>
      </c>
      <c r="D402" t="s">
        <v>17</v>
      </c>
      <c r="E402">
        <v>0.125</v>
      </c>
      <c r="F402">
        <v>38</v>
      </c>
      <c r="G402">
        <v>2</v>
      </c>
      <c r="H402">
        <v>2020</v>
      </c>
      <c r="I402" t="s">
        <v>403</v>
      </c>
      <c r="J402" t="str">
        <f t="shared" si="12"/>
        <v>Preliminary</v>
      </c>
      <c r="K402">
        <f t="shared" si="13"/>
        <v>0</v>
      </c>
    </row>
    <row r="403" spans="1:11">
      <c r="A403" t="s">
        <v>405</v>
      </c>
      <c r="B403" t="s">
        <v>406</v>
      </c>
      <c r="C403" t="s">
        <v>80</v>
      </c>
      <c r="D403" t="s">
        <v>17</v>
      </c>
      <c r="E403">
        <v>0.125</v>
      </c>
      <c r="F403">
        <v>17</v>
      </c>
      <c r="G403">
        <v>3</v>
      </c>
      <c r="H403">
        <v>2020</v>
      </c>
      <c r="I403" t="s">
        <v>403</v>
      </c>
      <c r="J403" t="str">
        <f t="shared" si="12"/>
        <v>Preliminary</v>
      </c>
      <c r="K403">
        <f t="shared" si="13"/>
        <v>0</v>
      </c>
    </row>
    <row r="404" spans="1:11">
      <c r="A404" t="s">
        <v>35</v>
      </c>
      <c r="B404" t="s">
        <v>36</v>
      </c>
      <c r="C404" t="s">
        <v>20</v>
      </c>
      <c r="D404" t="s">
        <v>13</v>
      </c>
      <c r="E404">
        <v>0.125</v>
      </c>
      <c r="F404">
        <v>49</v>
      </c>
      <c r="G404">
        <v>1</v>
      </c>
      <c r="H404">
        <v>2020</v>
      </c>
      <c r="I404" t="s">
        <v>407</v>
      </c>
      <c r="J404" t="str">
        <f t="shared" si="12"/>
        <v>Preliminary</v>
      </c>
      <c r="K404">
        <f t="shared" si="13"/>
        <v>1</v>
      </c>
    </row>
    <row r="405" spans="1:11">
      <c r="A405" t="s">
        <v>178</v>
      </c>
      <c r="B405" t="s">
        <v>179</v>
      </c>
      <c r="C405" t="s">
        <v>12</v>
      </c>
      <c r="D405" t="s">
        <v>13</v>
      </c>
      <c r="E405">
        <v>0.125</v>
      </c>
      <c r="F405">
        <v>31</v>
      </c>
      <c r="G405">
        <v>2</v>
      </c>
      <c r="H405">
        <v>2020</v>
      </c>
      <c r="I405" t="s">
        <v>407</v>
      </c>
      <c r="J405" t="str">
        <f t="shared" si="12"/>
        <v>Preliminary</v>
      </c>
      <c r="K405">
        <f t="shared" si="13"/>
        <v>0</v>
      </c>
    </row>
    <row r="406" spans="1:11">
      <c r="A406" t="s">
        <v>269</v>
      </c>
      <c r="B406" t="s">
        <v>270</v>
      </c>
      <c r="C406" t="s">
        <v>20</v>
      </c>
      <c r="D406" t="s">
        <v>17</v>
      </c>
      <c r="E406">
        <v>0.125</v>
      </c>
      <c r="F406">
        <v>23</v>
      </c>
      <c r="G406">
        <v>3</v>
      </c>
      <c r="H406">
        <v>2020</v>
      </c>
      <c r="I406" t="s">
        <v>407</v>
      </c>
      <c r="J406" t="str">
        <f t="shared" si="12"/>
        <v>Preliminary</v>
      </c>
      <c r="K406">
        <f t="shared" si="13"/>
        <v>0</v>
      </c>
    </row>
    <row r="407" spans="1:11">
      <c r="A407" t="s">
        <v>81</v>
      </c>
      <c r="B407" t="s">
        <v>82</v>
      </c>
      <c r="C407" t="s">
        <v>24</v>
      </c>
      <c r="D407" t="s">
        <v>13</v>
      </c>
      <c r="E407">
        <v>0.125</v>
      </c>
      <c r="F407">
        <v>53</v>
      </c>
      <c r="G407">
        <v>1</v>
      </c>
      <c r="H407">
        <v>2020</v>
      </c>
      <c r="I407" t="s">
        <v>408</v>
      </c>
      <c r="J407" t="str">
        <f t="shared" si="12"/>
        <v>Preliminary</v>
      </c>
      <c r="K407">
        <f t="shared" si="13"/>
        <v>1</v>
      </c>
    </row>
    <row r="408" spans="1:11">
      <c r="A408" t="s">
        <v>409</v>
      </c>
      <c r="B408" t="s">
        <v>410</v>
      </c>
      <c r="C408" t="s">
        <v>50</v>
      </c>
      <c r="D408" t="s">
        <v>17</v>
      </c>
      <c r="E408">
        <v>0.125</v>
      </c>
      <c r="F408">
        <v>36</v>
      </c>
      <c r="G408">
        <v>2</v>
      </c>
      <c r="H408">
        <v>2020</v>
      </c>
      <c r="I408" t="s">
        <v>408</v>
      </c>
      <c r="J408" t="str">
        <f t="shared" si="12"/>
        <v>Preliminary</v>
      </c>
      <c r="K408">
        <f t="shared" si="13"/>
        <v>0</v>
      </c>
    </row>
    <row r="409" spans="1:11">
      <c r="A409" t="s">
        <v>320</v>
      </c>
      <c r="B409" t="s">
        <v>321</v>
      </c>
      <c r="C409" t="s">
        <v>177</v>
      </c>
      <c r="D409" t="s">
        <v>17</v>
      </c>
      <c r="E409">
        <v>0.125</v>
      </c>
      <c r="F409">
        <v>22</v>
      </c>
      <c r="G409">
        <v>3</v>
      </c>
      <c r="H409">
        <v>2020</v>
      </c>
      <c r="I409" t="s">
        <v>408</v>
      </c>
      <c r="J409" t="str">
        <f t="shared" si="12"/>
        <v>Preliminary</v>
      </c>
      <c r="K409">
        <f t="shared" si="13"/>
        <v>0</v>
      </c>
    </row>
    <row r="410" spans="1:11">
      <c r="A410" t="s">
        <v>62</v>
      </c>
      <c r="B410" t="s">
        <v>63</v>
      </c>
      <c r="C410" t="s">
        <v>20</v>
      </c>
      <c r="D410" t="s">
        <v>17</v>
      </c>
      <c r="E410">
        <v>0.125</v>
      </c>
      <c r="F410">
        <v>43</v>
      </c>
      <c r="G410">
        <v>1</v>
      </c>
      <c r="H410">
        <v>2020</v>
      </c>
      <c r="I410" t="s">
        <v>411</v>
      </c>
      <c r="J410" t="str">
        <f t="shared" si="12"/>
        <v>Preliminary</v>
      </c>
      <c r="K410">
        <f t="shared" si="13"/>
        <v>1</v>
      </c>
    </row>
    <row r="411" spans="1:11">
      <c r="A411" t="s">
        <v>412</v>
      </c>
      <c r="B411" t="s">
        <v>413</v>
      </c>
      <c r="C411" t="s">
        <v>20</v>
      </c>
      <c r="D411" t="s">
        <v>17</v>
      </c>
      <c r="E411">
        <v>0.125</v>
      </c>
      <c r="F411">
        <v>21</v>
      </c>
      <c r="G411">
        <v>2</v>
      </c>
      <c r="H411">
        <v>2020</v>
      </c>
      <c r="I411" t="s">
        <v>411</v>
      </c>
      <c r="J411" t="str">
        <f t="shared" si="12"/>
        <v>Preliminary</v>
      </c>
      <c r="K411">
        <f t="shared" si="13"/>
        <v>0</v>
      </c>
    </row>
    <row r="412" spans="1:11">
      <c r="A412" t="s">
        <v>266</v>
      </c>
      <c r="B412" t="s">
        <v>267</v>
      </c>
      <c r="C412" t="s">
        <v>20</v>
      </c>
      <c r="D412" t="s">
        <v>17</v>
      </c>
      <c r="E412">
        <v>0.125</v>
      </c>
      <c r="F412">
        <v>21</v>
      </c>
      <c r="G412">
        <v>3</v>
      </c>
      <c r="H412">
        <v>2020</v>
      </c>
      <c r="I412" t="s">
        <v>411</v>
      </c>
      <c r="J412" t="str">
        <f t="shared" si="12"/>
        <v>Preliminary</v>
      </c>
      <c r="K412">
        <f t="shared" si="13"/>
        <v>0</v>
      </c>
    </row>
    <row r="413" spans="1:11">
      <c r="A413" t="s">
        <v>373</v>
      </c>
      <c r="B413" t="s">
        <v>374</v>
      </c>
      <c r="C413" t="s">
        <v>39</v>
      </c>
      <c r="D413" t="s">
        <v>17</v>
      </c>
      <c r="E413">
        <v>0.125</v>
      </c>
      <c r="F413">
        <v>30</v>
      </c>
      <c r="G413">
        <v>1</v>
      </c>
      <c r="H413">
        <v>2020</v>
      </c>
      <c r="I413" t="s">
        <v>414</v>
      </c>
      <c r="J413" t="str">
        <f t="shared" si="12"/>
        <v>Preliminary</v>
      </c>
      <c r="K413">
        <f t="shared" si="13"/>
        <v>1</v>
      </c>
    </row>
    <row r="414" spans="1:11">
      <c r="A414" t="s">
        <v>181</v>
      </c>
      <c r="B414" t="s">
        <v>182</v>
      </c>
      <c r="C414" t="s">
        <v>20</v>
      </c>
      <c r="D414" t="s">
        <v>17</v>
      </c>
      <c r="E414">
        <v>0.125</v>
      </c>
      <c r="F414">
        <v>23</v>
      </c>
      <c r="G414">
        <v>2</v>
      </c>
      <c r="H414">
        <v>2020</v>
      </c>
      <c r="I414" t="s">
        <v>414</v>
      </c>
      <c r="J414" t="str">
        <f t="shared" si="12"/>
        <v>Preliminary</v>
      </c>
      <c r="K414">
        <f t="shared" si="13"/>
        <v>0</v>
      </c>
    </row>
    <row r="415" spans="1:11">
      <c r="A415" t="s">
        <v>204</v>
      </c>
      <c r="B415" t="s">
        <v>205</v>
      </c>
      <c r="C415" t="s">
        <v>12</v>
      </c>
      <c r="D415" t="s">
        <v>17</v>
      </c>
      <c r="E415">
        <v>0.125</v>
      </c>
      <c r="F415">
        <v>14</v>
      </c>
      <c r="G415">
        <v>3</v>
      </c>
      <c r="H415">
        <v>2020</v>
      </c>
      <c r="I415" t="s">
        <v>414</v>
      </c>
      <c r="J415" t="str">
        <f t="shared" si="12"/>
        <v>Preliminary</v>
      </c>
      <c r="K415">
        <f t="shared" si="13"/>
        <v>0</v>
      </c>
    </row>
    <row r="416" spans="1:11">
      <c r="A416" t="s">
        <v>15</v>
      </c>
      <c r="B416" t="s">
        <v>16</v>
      </c>
      <c r="C416" t="s">
        <v>12</v>
      </c>
      <c r="D416" t="s">
        <v>17</v>
      </c>
      <c r="E416">
        <v>0.125</v>
      </c>
      <c r="F416">
        <v>42</v>
      </c>
      <c r="G416">
        <v>1</v>
      </c>
      <c r="H416">
        <v>2020</v>
      </c>
      <c r="I416" t="s">
        <v>415</v>
      </c>
      <c r="J416" t="str">
        <f t="shared" si="12"/>
        <v>Preliminary</v>
      </c>
      <c r="K416">
        <f t="shared" si="13"/>
        <v>1</v>
      </c>
    </row>
    <row r="417" spans="1:11">
      <c r="A417" t="s">
        <v>155</v>
      </c>
      <c r="B417" t="s">
        <v>156</v>
      </c>
      <c r="C417" t="s">
        <v>20</v>
      </c>
      <c r="D417" t="s">
        <v>17</v>
      </c>
      <c r="E417">
        <v>0.125</v>
      </c>
      <c r="F417">
        <v>33</v>
      </c>
      <c r="G417">
        <v>2</v>
      </c>
      <c r="H417">
        <v>2020</v>
      </c>
      <c r="I417" t="s">
        <v>415</v>
      </c>
      <c r="J417" t="str">
        <f t="shared" si="12"/>
        <v>Preliminary</v>
      </c>
      <c r="K417">
        <f t="shared" si="13"/>
        <v>0</v>
      </c>
    </row>
    <row r="418" spans="1:11">
      <c r="A418" t="s">
        <v>207</v>
      </c>
      <c r="B418" t="s">
        <v>208</v>
      </c>
      <c r="C418" t="s">
        <v>20</v>
      </c>
      <c r="D418" t="s">
        <v>13</v>
      </c>
      <c r="E418">
        <v>0.125</v>
      </c>
      <c r="F418">
        <v>24</v>
      </c>
      <c r="G418">
        <v>3</v>
      </c>
      <c r="H418">
        <v>2020</v>
      </c>
      <c r="I418" t="s">
        <v>415</v>
      </c>
      <c r="J418" t="str">
        <f t="shared" si="12"/>
        <v>Preliminary</v>
      </c>
      <c r="K418">
        <f t="shared" si="13"/>
        <v>0</v>
      </c>
    </row>
    <row r="419" spans="1:11">
      <c r="A419" t="s">
        <v>160</v>
      </c>
      <c r="B419" t="s">
        <v>161</v>
      </c>
      <c r="C419" t="s">
        <v>24</v>
      </c>
      <c r="D419" t="s">
        <v>13</v>
      </c>
      <c r="E419">
        <v>0.125</v>
      </c>
      <c r="F419">
        <v>50</v>
      </c>
      <c r="G419">
        <v>1</v>
      </c>
      <c r="H419">
        <v>2020</v>
      </c>
      <c r="I419" t="s">
        <v>416</v>
      </c>
      <c r="J419" t="str">
        <f t="shared" si="12"/>
        <v>Preliminary</v>
      </c>
      <c r="K419">
        <f t="shared" si="13"/>
        <v>1</v>
      </c>
    </row>
    <row r="420" spans="1:11">
      <c r="A420" t="s">
        <v>69</v>
      </c>
      <c r="B420" t="s">
        <v>70</v>
      </c>
      <c r="C420" t="s">
        <v>27</v>
      </c>
      <c r="D420" t="s">
        <v>13</v>
      </c>
      <c r="E420">
        <v>0.125</v>
      </c>
      <c r="F420">
        <v>34</v>
      </c>
      <c r="G420">
        <v>2</v>
      </c>
      <c r="H420">
        <v>2020</v>
      </c>
      <c r="I420" t="s">
        <v>416</v>
      </c>
      <c r="J420" t="str">
        <f t="shared" si="12"/>
        <v>Preliminary</v>
      </c>
      <c r="K420">
        <f t="shared" si="13"/>
        <v>0</v>
      </c>
    </row>
    <row r="421" spans="1:11">
      <c r="A421" t="s">
        <v>244</v>
      </c>
      <c r="B421" t="s">
        <v>245</v>
      </c>
      <c r="C421" t="s">
        <v>50</v>
      </c>
      <c r="D421" t="s">
        <v>17</v>
      </c>
      <c r="E421">
        <v>0.125</v>
      </c>
      <c r="F421">
        <v>25</v>
      </c>
      <c r="G421">
        <v>3</v>
      </c>
      <c r="H421">
        <v>2020</v>
      </c>
      <c r="I421" t="s">
        <v>416</v>
      </c>
      <c r="J421" t="str">
        <f t="shared" si="12"/>
        <v>Preliminary</v>
      </c>
      <c r="K421">
        <f t="shared" si="13"/>
        <v>0</v>
      </c>
    </row>
    <row r="422" spans="1:11">
      <c r="A422" t="s">
        <v>351</v>
      </c>
      <c r="B422" t="s">
        <v>351</v>
      </c>
      <c r="C422" t="s">
        <v>80</v>
      </c>
      <c r="D422" t="s">
        <v>17</v>
      </c>
      <c r="E422">
        <v>0.125</v>
      </c>
      <c r="F422">
        <v>24</v>
      </c>
      <c r="G422">
        <v>1</v>
      </c>
      <c r="H422">
        <v>2020</v>
      </c>
      <c r="I422" t="s">
        <v>417</v>
      </c>
      <c r="J422" t="str">
        <f t="shared" si="12"/>
        <v>Preliminary</v>
      </c>
      <c r="K422">
        <f t="shared" si="13"/>
        <v>1</v>
      </c>
    </row>
    <row r="423" spans="1:11">
      <c r="A423" t="s">
        <v>302</v>
      </c>
      <c r="B423" t="s">
        <v>303</v>
      </c>
      <c r="C423" t="s">
        <v>195</v>
      </c>
      <c r="D423" t="s">
        <v>17</v>
      </c>
      <c r="E423">
        <v>0.125</v>
      </c>
      <c r="F423">
        <v>23</v>
      </c>
      <c r="G423">
        <v>2</v>
      </c>
      <c r="H423">
        <v>2020</v>
      </c>
      <c r="I423" t="s">
        <v>417</v>
      </c>
      <c r="J423" t="str">
        <f t="shared" si="12"/>
        <v>Preliminary</v>
      </c>
      <c r="K423">
        <f t="shared" si="13"/>
        <v>0</v>
      </c>
    </row>
    <row r="424" spans="1:11">
      <c r="A424" t="s">
        <v>341</v>
      </c>
      <c r="B424" t="s">
        <v>342</v>
      </c>
      <c r="C424" t="s">
        <v>50</v>
      </c>
      <c r="D424" t="s">
        <v>13</v>
      </c>
      <c r="E424">
        <v>0.125</v>
      </c>
      <c r="F424">
        <v>22</v>
      </c>
      <c r="G424">
        <v>3</v>
      </c>
      <c r="H424">
        <v>2020</v>
      </c>
      <c r="I424" t="s">
        <v>417</v>
      </c>
      <c r="J424" t="str">
        <f t="shared" si="12"/>
        <v>Preliminary</v>
      </c>
      <c r="K424">
        <f t="shared" si="13"/>
        <v>0</v>
      </c>
    </row>
    <row r="425" spans="1:11">
      <c r="A425" t="s">
        <v>212</v>
      </c>
      <c r="B425" t="s">
        <v>213</v>
      </c>
      <c r="C425" t="s">
        <v>20</v>
      </c>
      <c r="D425" t="s">
        <v>17</v>
      </c>
      <c r="E425">
        <v>0.125</v>
      </c>
      <c r="F425">
        <v>53</v>
      </c>
      <c r="G425">
        <v>1</v>
      </c>
      <c r="H425">
        <v>2020</v>
      </c>
      <c r="I425" t="s">
        <v>418</v>
      </c>
      <c r="J425" t="str">
        <f t="shared" si="12"/>
        <v>Preliminary</v>
      </c>
      <c r="K425">
        <f t="shared" si="13"/>
        <v>1</v>
      </c>
    </row>
    <row r="426" spans="1:11">
      <c r="A426" t="s">
        <v>22</v>
      </c>
      <c r="B426" t="s">
        <v>23</v>
      </c>
      <c r="C426" t="s">
        <v>24</v>
      </c>
      <c r="D426" t="s">
        <v>13</v>
      </c>
      <c r="E426">
        <v>0.125</v>
      </c>
      <c r="F426">
        <v>35</v>
      </c>
      <c r="G426">
        <v>2</v>
      </c>
      <c r="H426">
        <v>2020</v>
      </c>
      <c r="I426" t="s">
        <v>418</v>
      </c>
      <c r="J426" t="str">
        <f t="shared" si="12"/>
        <v>Preliminary</v>
      </c>
      <c r="K426">
        <f t="shared" si="13"/>
        <v>0</v>
      </c>
    </row>
    <row r="427" spans="1:11">
      <c r="A427" t="s">
        <v>291</v>
      </c>
      <c r="B427" t="s">
        <v>292</v>
      </c>
      <c r="C427" t="s">
        <v>12</v>
      </c>
      <c r="D427" t="s">
        <v>31</v>
      </c>
      <c r="E427">
        <v>0.125</v>
      </c>
      <c r="F427">
        <v>30</v>
      </c>
      <c r="G427">
        <v>3</v>
      </c>
      <c r="H427">
        <v>2020</v>
      </c>
      <c r="I427" t="s">
        <v>418</v>
      </c>
      <c r="J427" t="str">
        <f t="shared" si="12"/>
        <v>Preliminary</v>
      </c>
      <c r="K427">
        <f t="shared" si="13"/>
        <v>0</v>
      </c>
    </row>
    <row r="428" spans="1:11">
      <c r="A428" t="s">
        <v>376</v>
      </c>
      <c r="B428" t="s">
        <v>377</v>
      </c>
      <c r="C428" t="s">
        <v>20</v>
      </c>
      <c r="D428" t="s">
        <v>17</v>
      </c>
      <c r="E428">
        <v>0.125</v>
      </c>
      <c r="F428">
        <v>34</v>
      </c>
      <c r="G428">
        <v>1</v>
      </c>
      <c r="H428">
        <v>2020</v>
      </c>
      <c r="I428" t="s">
        <v>419</v>
      </c>
      <c r="J428" t="str">
        <f t="shared" si="12"/>
        <v>Preliminary</v>
      </c>
      <c r="K428">
        <f t="shared" si="13"/>
        <v>1</v>
      </c>
    </row>
    <row r="429" spans="1:11">
      <c r="A429" t="s">
        <v>78</v>
      </c>
      <c r="B429" t="s">
        <v>79</v>
      </c>
      <c r="C429" t="s">
        <v>80</v>
      </c>
      <c r="D429" t="s">
        <v>17</v>
      </c>
      <c r="E429">
        <v>0.125</v>
      </c>
      <c r="F429">
        <v>30</v>
      </c>
      <c r="G429">
        <v>2</v>
      </c>
      <c r="H429">
        <v>2020</v>
      </c>
      <c r="I429" t="s">
        <v>419</v>
      </c>
      <c r="J429" t="str">
        <f t="shared" si="12"/>
        <v>Preliminary</v>
      </c>
      <c r="K429">
        <f t="shared" si="13"/>
        <v>0</v>
      </c>
    </row>
    <row r="430" spans="1:11">
      <c r="A430" t="s">
        <v>57</v>
      </c>
      <c r="B430" t="s">
        <v>58</v>
      </c>
      <c r="C430" t="s">
        <v>20</v>
      </c>
      <c r="D430" t="s">
        <v>13</v>
      </c>
      <c r="E430">
        <v>0.125</v>
      </c>
      <c r="F430">
        <v>16</v>
      </c>
      <c r="G430">
        <v>3</v>
      </c>
      <c r="H430">
        <v>2020</v>
      </c>
      <c r="I430" t="s">
        <v>419</v>
      </c>
      <c r="J430" t="str">
        <f t="shared" si="12"/>
        <v>Preliminary</v>
      </c>
      <c r="K430">
        <f t="shared" si="13"/>
        <v>0</v>
      </c>
    </row>
    <row r="431" spans="1:11">
      <c r="A431" t="s">
        <v>295</v>
      </c>
      <c r="B431" t="s">
        <v>296</v>
      </c>
      <c r="C431" t="s">
        <v>24</v>
      </c>
      <c r="D431" t="s">
        <v>17</v>
      </c>
      <c r="E431">
        <v>0.125</v>
      </c>
      <c r="F431">
        <v>39</v>
      </c>
      <c r="G431">
        <v>1</v>
      </c>
      <c r="H431">
        <v>2020</v>
      </c>
      <c r="I431" t="s">
        <v>420</v>
      </c>
      <c r="J431" t="str">
        <f t="shared" si="12"/>
        <v>Preliminary</v>
      </c>
      <c r="K431">
        <f t="shared" si="13"/>
        <v>1</v>
      </c>
    </row>
    <row r="432" spans="1:11">
      <c r="A432" t="s">
        <v>323</v>
      </c>
      <c r="B432" t="s">
        <v>324</v>
      </c>
      <c r="C432" t="s">
        <v>39</v>
      </c>
      <c r="D432" t="s">
        <v>17</v>
      </c>
      <c r="E432">
        <v>0.125</v>
      </c>
      <c r="F432">
        <v>32</v>
      </c>
      <c r="G432">
        <v>2</v>
      </c>
      <c r="H432">
        <v>2020</v>
      </c>
      <c r="I432" t="s">
        <v>420</v>
      </c>
      <c r="J432" t="str">
        <f t="shared" si="12"/>
        <v>Preliminary</v>
      </c>
      <c r="K432">
        <f t="shared" si="13"/>
        <v>0</v>
      </c>
    </row>
    <row r="433" spans="1:11">
      <c r="A433" t="s">
        <v>421</v>
      </c>
      <c r="B433" t="s">
        <v>422</v>
      </c>
      <c r="C433" t="s">
        <v>27</v>
      </c>
      <c r="D433" t="s">
        <v>17</v>
      </c>
      <c r="E433">
        <v>0.125</v>
      </c>
      <c r="F433">
        <v>19</v>
      </c>
      <c r="G433">
        <v>3</v>
      </c>
      <c r="H433">
        <v>2020</v>
      </c>
      <c r="I433" t="s">
        <v>420</v>
      </c>
      <c r="J433" t="str">
        <f t="shared" si="12"/>
        <v>Preliminary</v>
      </c>
      <c r="K433">
        <f t="shared" si="13"/>
        <v>0</v>
      </c>
    </row>
    <row r="434" spans="1:11">
      <c r="A434" t="s">
        <v>193</v>
      </c>
      <c r="B434" t="s">
        <v>194</v>
      </c>
      <c r="C434" t="s">
        <v>195</v>
      </c>
      <c r="D434" t="s">
        <v>17</v>
      </c>
      <c r="E434">
        <v>0.125</v>
      </c>
      <c r="F434">
        <v>41</v>
      </c>
      <c r="G434">
        <v>1</v>
      </c>
      <c r="H434">
        <v>2020</v>
      </c>
      <c r="I434" t="s">
        <v>423</v>
      </c>
      <c r="J434" t="str">
        <f t="shared" si="12"/>
        <v>Preliminary</v>
      </c>
      <c r="K434">
        <f t="shared" si="13"/>
        <v>1</v>
      </c>
    </row>
    <row r="435" spans="1:11">
      <c r="A435" t="s">
        <v>183</v>
      </c>
      <c r="B435" t="s">
        <v>184</v>
      </c>
      <c r="C435" t="s">
        <v>20</v>
      </c>
      <c r="D435" t="s">
        <v>17</v>
      </c>
      <c r="E435">
        <v>0.125</v>
      </c>
      <c r="F435">
        <v>30</v>
      </c>
      <c r="G435">
        <v>2</v>
      </c>
      <c r="H435">
        <v>2020</v>
      </c>
      <c r="I435" t="s">
        <v>423</v>
      </c>
      <c r="J435" t="str">
        <f t="shared" si="12"/>
        <v>Preliminary</v>
      </c>
      <c r="K435">
        <f t="shared" si="13"/>
        <v>0</v>
      </c>
    </row>
    <row r="436" spans="1:11">
      <c r="A436" t="s">
        <v>424</v>
      </c>
      <c r="B436" t="s">
        <v>425</v>
      </c>
      <c r="C436" t="s">
        <v>24</v>
      </c>
      <c r="D436" t="s">
        <v>17</v>
      </c>
      <c r="E436">
        <v>0.125</v>
      </c>
      <c r="F436">
        <v>28</v>
      </c>
      <c r="G436">
        <v>3</v>
      </c>
      <c r="H436">
        <v>2020</v>
      </c>
      <c r="I436" t="s">
        <v>423</v>
      </c>
      <c r="J436" t="str">
        <f t="shared" si="12"/>
        <v>Preliminary</v>
      </c>
      <c r="K436">
        <f t="shared" si="13"/>
        <v>0</v>
      </c>
    </row>
    <row r="437" spans="1:11">
      <c r="A437" t="s">
        <v>137</v>
      </c>
      <c r="B437" t="s">
        <v>138</v>
      </c>
      <c r="C437" t="s">
        <v>27</v>
      </c>
      <c r="D437" t="s">
        <v>31</v>
      </c>
      <c r="E437">
        <v>0.125</v>
      </c>
      <c r="F437">
        <v>46</v>
      </c>
      <c r="G437">
        <v>1</v>
      </c>
      <c r="H437">
        <v>2020</v>
      </c>
      <c r="I437" t="s">
        <v>426</v>
      </c>
      <c r="J437" t="str">
        <f t="shared" si="12"/>
        <v>Preliminary</v>
      </c>
      <c r="K437">
        <f t="shared" si="13"/>
        <v>1</v>
      </c>
    </row>
    <row r="438" spans="1:11">
      <c r="A438" t="s">
        <v>104</v>
      </c>
      <c r="B438" t="s">
        <v>105</v>
      </c>
      <c r="C438" t="s">
        <v>12</v>
      </c>
      <c r="D438" t="s">
        <v>17</v>
      </c>
      <c r="E438">
        <v>0.125</v>
      </c>
      <c r="F438">
        <v>37</v>
      </c>
      <c r="G438">
        <v>2</v>
      </c>
      <c r="H438">
        <v>2020</v>
      </c>
      <c r="I438" t="s">
        <v>426</v>
      </c>
      <c r="J438" t="str">
        <f t="shared" si="12"/>
        <v>Preliminary</v>
      </c>
      <c r="K438">
        <f t="shared" si="13"/>
        <v>0</v>
      </c>
    </row>
    <row r="439" spans="1:11">
      <c r="A439" t="s">
        <v>427</v>
      </c>
      <c r="B439" t="s">
        <v>428</v>
      </c>
      <c r="C439" t="s">
        <v>39</v>
      </c>
      <c r="D439" t="s">
        <v>31</v>
      </c>
      <c r="E439">
        <v>0.125</v>
      </c>
      <c r="F439">
        <v>24</v>
      </c>
      <c r="G439">
        <v>3</v>
      </c>
      <c r="H439">
        <v>2020</v>
      </c>
      <c r="I439" t="s">
        <v>426</v>
      </c>
      <c r="J439" t="str">
        <f t="shared" si="12"/>
        <v>Preliminary</v>
      </c>
      <c r="K439">
        <f t="shared" si="13"/>
        <v>0</v>
      </c>
    </row>
    <row r="440" spans="1:11">
      <c r="A440" t="s">
        <v>197</v>
      </c>
      <c r="B440" t="s">
        <v>198</v>
      </c>
      <c r="C440" t="s">
        <v>39</v>
      </c>
      <c r="D440" t="s">
        <v>13</v>
      </c>
      <c r="E440">
        <v>0.125</v>
      </c>
      <c r="F440">
        <v>68</v>
      </c>
      <c r="G440">
        <v>1</v>
      </c>
      <c r="H440">
        <v>2020</v>
      </c>
      <c r="I440" t="s">
        <v>429</v>
      </c>
      <c r="J440" t="str">
        <f t="shared" si="12"/>
        <v>Preliminary</v>
      </c>
      <c r="K440">
        <f t="shared" si="13"/>
        <v>1</v>
      </c>
    </row>
    <row r="441" spans="1:11">
      <c r="A441" t="s">
        <v>430</v>
      </c>
      <c r="B441" t="s">
        <v>431</v>
      </c>
      <c r="C441" t="s">
        <v>74</v>
      </c>
      <c r="D441" t="s">
        <v>17</v>
      </c>
      <c r="E441">
        <v>0.125</v>
      </c>
      <c r="F441">
        <v>28</v>
      </c>
      <c r="G441">
        <v>2</v>
      </c>
      <c r="H441">
        <v>2020</v>
      </c>
      <c r="I441" t="s">
        <v>429</v>
      </c>
      <c r="J441" t="str">
        <f t="shared" si="12"/>
        <v>Preliminary</v>
      </c>
      <c r="K441">
        <f t="shared" si="13"/>
        <v>0</v>
      </c>
    </row>
    <row r="442" spans="1:11">
      <c r="A442" t="s">
        <v>101</v>
      </c>
      <c r="B442" t="s">
        <v>102</v>
      </c>
      <c r="C442" t="s">
        <v>74</v>
      </c>
      <c r="D442" t="s">
        <v>31</v>
      </c>
      <c r="E442">
        <v>0.125</v>
      </c>
      <c r="F442">
        <v>10</v>
      </c>
      <c r="G442">
        <v>3</v>
      </c>
      <c r="H442">
        <v>2020</v>
      </c>
      <c r="I442" t="s">
        <v>429</v>
      </c>
      <c r="J442" t="str">
        <f t="shared" si="12"/>
        <v>Preliminary</v>
      </c>
      <c r="K442">
        <f t="shared" si="13"/>
        <v>0</v>
      </c>
    </row>
    <row r="443" spans="1:11">
      <c r="A443" t="s">
        <v>75</v>
      </c>
      <c r="B443" t="s">
        <v>76</v>
      </c>
      <c r="C443" t="s">
        <v>39</v>
      </c>
      <c r="D443" t="s">
        <v>17</v>
      </c>
      <c r="E443">
        <v>0.125</v>
      </c>
      <c r="F443">
        <v>50</v>
      </c>
      <c r="G443">
        <v>1</v>
      </c>
      <c r="H443">
        <v>2020</v>
      </c>
      <c r="I443" t="s">
        <v>432</v>
      </c>
      <c r="J443" t="str">
        <f t="shared" si="12"/>
        <v>Preliminary</v>
      </c>
      <c r="K443">
        <f t="shared" si="13"/>
        <v>1</v>
      </c>
    </row>
    <row r="444" spans="1:11">
      <c r="A444" t="s">
        <v>433</v>
      </c>
      <c r="B444" t="s">
        <v>434</v>
      </c>
      <c r="C444" t="s">
        <v>118</v>
      </c>
      <c r="D444" t="s">
        <v>17</v>
      </c>
      <c r="E444">
        <v>0.125</v>
      </c>
      <c r="F444">
        <v>16</v>
      </c>
      <c r="G444">
        <v>2</v>
      </c>
      <c r="H444">
        <v>2020</v>
      </c>
      <c r="I444" t="s">
        <v>432</v>
      </c>
      <c r="J444" t="str">
        <f t="shared" si="12"/>
        <v>Preliminary</v>
      </c>
      <c r="K444">
        <f t="shared" si="13"/>
        <v>0</v>
      </c>
    </row>
    <row r="445" spans="1:11">
      <c r="A445" t="s">
        <v>43</v>
      </c>
      <c r="B445" t="s">
        <v>44</v>
      </c>
      <c r="C445" t="s">
        <v>39</v>
      </c>
      <c r="D445" t="s">
        <v>17</v>
      </c>
      <c r="E445">
        <v>0.125</v>
      </c>
      <c r="F445">
        <v>15</v>
      </c>
      <c r="G445">
        <v>3</v>
      </c>
      <c r="H445">
        <v>2020</v>
      </c>
      <c r="I445" t="s">
        <v>432</v>
      </c>
      <c r="J445" t="str">
        <f t="shared" si="12"/>
        <v>Preliminary</v>
      </c>
      <c r="K445">
        <f t="shared" si="13"/>
        <v>0</v>
      </c>
    </row>
    <row r="446" spans="1:11">
      <c r="A446" t="s">
        <v>140</v>
      </c>
      <c r="B446" t="s">
        <v>141</v>
      </c>
      <c r="C446" t="s">
        <v>24</v>
      </c>
      <c r="D446" t="s">
        <v>17</v>
      </c>
      <c r="E446">
        <v>0.125</v>
      </c>
      <c r="F446">
        <v>50</v>
      </c>
      <c r="G446">
        <v>1</v>
      </c>
      <c r="H446">
        <v>2020</v>
      </c>
      <c r="I446" t="s">
        <v>435</v>
      </c>
      <c r="J446" t="str">
        <f t="shared" si="12"/>
        <v>Preliminary</v>
      </c>
      <c r="K446">
        <f t="shared" si="13"/>
        <v>1</v>
      </c>
    </row>
    <row r="447" spans="1:11">
      <c r="A447" t="s">
        <v>436</v>
      </c>
      <c r="B447" t="s">
        <v>437</v>
      </c>
      <c r="C447" t="s">
        <v>20</v>
      </c>
      <c r="D447" t="s">
        <v>17</v>
      </c>
      <c r="E447">
        <v>0.125</v>
      </c>
      <c r="F447">
        <v>14</v>
      </c>
      <c r="G447">
        <v>2</v>
      </c>
      <c r="H447">
        <v>2020</v>
      </c>
      <c r="I447" t="s">
        <v>435</v>
      </c>
      <c r="J447" t="str">
        <f t="shared" si="12"/>
        <v>Preliminary</v>
      </c>
      <c r="K447">
        <f t="shared" si="13"/>
        <v>0</v>
      </c>
    </row>
    <row r="448" spans="1:11">
      <c r="A448" t="s">
        <v>438</v>
      </c>
      <c r="B448" t="s">
        <v>439</v>
      </c>
      <c r="C448" t="s">
        <v>27</v>
      </c>
      <c r="D448" t="s">
        <v>17</v>
      </c>
      <c r="E448">
        <v>0.125</v>
      </c>
      <c r="F448">
        <v>13</v>
      </c>
      <c r="G448">
        <v>3</v>
      </c>
      <c r="H448">
        <v>2020</v>
      </c>
      <c r="I448" t="s">
        <v>435</v>
      </c>
      <c r="J448" t="str">
        <f t="shared" si="12"/>
        <v>Preliminary</v>
      </c>
      <c r="K448">
        <f t="shared" si="13"/>
        <v>0</v>
      </c>
    </row>
    <row r="449" spans="1:11">
      <c r="A449" t="s">
        <v>202</v>
      </c>
      <c r="B449" t="s">
        <v>203</v>
      </c>
      <c r="C449" t="s">
        <v>39</v>
      </c>
      <c r="D449" t="s">
        <v>13</v>
      </c>
      <c r="E449">
        <v>0.125</v>
      </c>
      <c r="F449">
        <v>44</v>
      </c>
      <c r="G449">
        <v>1</v>
      </c>
      <c r="H449">
        <v>2020</v>
      </c>
      <c r="I449" t="s">
        <v>440</v>
      </c>
      <c r="J449" t="str">
        <f t="shared" si="12"/>
        <v>Preliminary</v>
      </c>
      <c r="K449">
        <f t="shared" si="13"/>
        <v>1</v>
      </c>
    </row>
    <row r="450" spans="1:11">
      <c r="A450" t="s">
        <v>165</v>
      </c>
      <c r="B450" t="s">
        <v>166</v>
      </c>
      <c r="C450" t="s">
        <v>24</v>
      </c>
      <c r="D450" t="s">
        <v>17</v>
      </c>
      <c r="E450">
        <v>0.125</v>
      </c>
      <c r="F450">
        <v>38</v>
      </c>
      <c r="G450">
        <v>2</v>
      </c>
      <c r="H450">
        <v>2020</v>
      </c>
      <c r="I450" t="s">
        <v>440</v>
      </c>
      <c r="J450" t="str">
        <f t="shared" si="12"/>
        <v>Preliminary</v>
      </c>
      <c r="K450">
        <f t="shared" si="13"/>
        <v>0</v>
      </c>
    </row>
    <row r="451" spans="1:11">
      <c r="A451" t="s">
        <v>157</v>
      </c>
      <c r="B451" t="s">
        <v>158</v>
      </c>
      <c r="C451" t="s">
        <v>80</v>
      </c>
      <c r="D451" t="s">
        <v>13</v>
      </c>
      <c r="E451">
        <v>0.125</v>
      </c>
      <c r="F451">
        <v>24</v>
      </c>
      <c r="G451">
        <v>3</v>
      </c>
      <c r="H451">
        <v>2020</v>
      </c>
      <c r="I451" t="s">
        <v>440</v>
      </c>
      <c r="J451" t="str">
        <f t="shared" ref="J451:J514" si="14">IF(E451=1,"Final",IF(E451=0.5,"Semifinal",IF(E451=0.25,"Quarterfinal",IF(E451=0.125,"Preliminary","Unknown"))))</f>
        <v>Preliminary</v>
      </c>
      <c r="K451">
        <f t="shared" ref="K451:K514" si="15">IF(G451=1,1,0)</f>
        <v>0</v>
      </c>
    </row>
    <row r="452" spans="1:11">
      <c r="A452" t="s">
        <v>10</v>
      </c>
      <c r="B452" t="s">
        <v>11</v>
      </c>
      <c r="C452" t="s">
        <v>12</v>
      </c>
      <c r="D452" t="s">
        <v>13</v>
      </c>
      <c r="E452">
        <v>0.125</v>
      </c>
      <c r="F452">
        <v>59</v>
      </c>
      <c r="G452">
        <v>1</v>
      </c>
      <c r="H452">
        <v>2020</v>
      </c>
      <c r="I452" t="s">
        <v>441</v>
      </c>
      <c r="J452" t="str">
        <f t="shared" si="14"/>
        <v>Preliminary</v>
      </c>
      <c r="K452">
        <f t="shared" si="15"/>
        <v>1</v>
      </c>
    </row>
    <row r="453" spans="1:11">
      <c r="A453" t="s">
        <v>142</v>
      </c>
      <c r="B453" t="s">
        <v>143</v>
      </c>
      <c r="C453" t="s">
        <v>24</v>
      </c>
      <c r="D453" t="s">
        <v>17</v>
      </c>
      <c r="E453">
        <v>0.125</v>
      </c>
      <c r="F453">
        <v>32</v>
      </c>
      <c r="G453">
        <v>2</v>
      </c>
      <c r="H453">
        <v>2020</v>
      </c>
      <c r="I453" t="s">
        <v>441</v>
      </c>
      <c r="J453" t="str">
        <f t="shared" si="14"/>
        <v>Preliminary</v>
      </c>
      <c r="K453">
        <f t="shared" si="15"/>
        <v>0</v>
      </c>
    </row>
    <row r="454" spans="1:11">
      <c r="A454" t="s">
        <v>96</v>
      </c>
      <c r="B454" t="s">
        <v>97</v>
      </c>
      <c r="C454" t="s">
        <v>74</v>
      </c>
      <c r="D454" t="s">
        <v>17</v>
      </c>
      <c r="E454">
        <v>0.125</v>
      </c>
      <c r="F454">
        <v>27</v>
      </c>
      <c r="G454">
        <v>3</v>
      </c>
      <c r="H454">
        <v>2020</v>
      </c>
      <c r="I454" t="s">
        <v>441</v>
      </c>
      <c r="J454" t="str">
        <f t="shared" si="14"/>
        <v>Preliminary</v>
      </c>
      <c r="K454">
        <f t="shared" si="15"/>
        <v>0</v>
      </c>
    </row>
    <row r="455" spans="1:11">
      <c r="A455" t="s">
        <v>46</v>
      </c>
      <c r="B455" t="s">
        <v>47</v>
      </c>
      <c r="C455" t="s">
        <v>12</v>
      </c>
      <c r="D455" t="s">
        <v>13</v>
      </c>
      <c r="E455">
        <v>0.125</v>
      </c>
      <c r="F455">
        <v>48</v>
      </c>
      <c r="G455">
        <v>1</v>
      </c>
      <c r="H455">
        <v>2020</v>
      </c>
      <c r="I455" t="s">
        <v>442</v>
      </c>
      <c r="J455" t="str">
        <f t="shared" si="14"/>
        <v>Preliminary</v>
      </c>
      <c r="K455">
        <f t="shared" si="15"/>
        <v>1</v>
      </c>
    </row>
    <row r="456" spans="1:11">
      <c r="A456" t="s">
        <v>147</v>
      </c>
      <c r="B456" t="s">
        <v>148</v>
      </c>
      <c r="C456" t="s">
        <v>24</v>
      </c>
      <c r="D456" t="s">
        <v>17</v>
      </c>
      <c r="E456">
        <v>0.125</v>
      </c>
      <c r="F456">
        <v>43</v>
      </c>
      <c r="G456">
        <v>2</v>
      </c>
      <c r="H456">
        <v>2020</v>
      </c>
      <c r="I456" t="s">
        <v>442</v>
      </c>
      <c r="J456" t="str">
        <f t="shared" si="14"/>
        <v>Preliminary</v>
      </c>
      <c r="K456">
        <f t="shared" si="15"/>
        <v>0</v>
      </c>
    </row>
    <row r="457" spans="1:11">
      <c r="A457" t="s">
        <v>443</v>
      </c>
      <c r="B457" t="s">
        <v>444</v>
      </c>
      <c r="C457" t="s">
        <v>20</v>
      </c>
      <c r="D457" t="s">
        <v>31</v>
      </c>
      <c r="E457">
        <v>0.125</v>
      </c>
      <c r="F457">
        <v>35</v>
      </c>
      <c r="G457">
        <v>3</v>
      </c>
      <c r="H457">
        <v>2020</v>
      </c>
      <c r="I457" t="s">
        <v>442</v>
      </c>
      <c r="J457" t="str">
        <f t="shared" si="14"/>
        <v>Preliminary</v>
      </c>
      <c r="K457">
        <f t="shared" si="15"/>
        <v>0</v>
      </c>
    </row>
    <row r="458" spans="1:11">
      <c r="A458" t="s">
        <v>25</v>
      </c>
      <c r="B458" t="s">
        <v>26</v>
      </c>
      <c r="C458" t="s">
        <v>27</v>
      </c>
      <c r="D458" t="s">
        <v>17</v>
      </c>
      <c r="E458">
        <v>0.125</v>
      </c>
      <c r="F458">
        <v>45</v>
      </c>
      <c r="G458">
        <v>1</v>
      </c>
      <c r="H458">
        <v>2020</v>
      </c>
      <c r="I458" t="s">
        <v>445</v>
      </c>
      <c r="J458" t="str">
        <f t="shared" si="14"/>
        <v>Preliminary</v>
      </c>
      <c r="K458">
        <f t="shared" si="15"/>
        <v>1</v>
      </c>
    </row>
    <row r="459" spans="1:11">
      <c r="A459" t="s">
        <v>446</v>
      </c>
      <c r="B459" t="s">
        <v>447</v>
      </c>
      <c r="C459" t="s">
        <v>50</v>
      </c>
      <c r="D459" t="s">
        <v>17</v>
      </c>
      <c r="E459">
        <v>0.125</v>
      </c>
      <c r="F459">
        <v>29</v>
      </c>
      <c r="G459">
        <v>2</v>
      </c>
      <c r="H459">
        <v>2020</v>
      </c>
      <c r="I459" t="s">
        <v>445</v>
      </c>
      <c r="J459" t="str">
        <f t="shared" si="14"/>
        <v>Preliminary</v>
      </c>
      <c r="K459">
        <f t="shared" si="15"/>
        <v>0</v>
      </c>
    </row>
    <row r="460" spans="1:11">
      <c r="A460" t="s">
        <v>314</v>
      </c>
      <c r="B460" t="s">
        <v>315</v>
      </c>
      <c r="C460" t="s">
        <v>20</v>
      </c>
      <c r="D460" t="s">
        <v>17</v>
      </c>
      <c r="E460">
        <v>0.125</v>
      </c>
      <c r="F460">
        <v>22</v>
      </c>
      <c r="G460">
        <v>3</v>
      </c>
      <c r="H460">
        <v>2020</v>
      </c>
      <c r="I460" t="s">
        <v>445</v>
      </c>
      <c r="J460" t="str">
        <f t="shared" si="14"/>
        <v>Preliminary</v>
      </c>
      <c r="K460">
        <f t="shared" si="15"/>
        <v>0</v>
      </c>
    </row>
    <row r="461" spans="1:11">
      <c r="A461" t="s">
        <v>37</v>
      </c>
      <c r="B461" t="s">
        <v>38</v>
      </c>
      <c r="C461" t="s">
        <v>39</v>
      </c>
      <c r="D461" t="s">
        <v>13</v>
      </c>
      <c r="E461">
        <v>0.125</v>
      </c>
      <c r="F461">
        <v>44</v>
      </c>
      <c r="G461">
        <v>1</v>
      </c>
      <c r="H461">
        <v>2020</v>
      </c>
      <c r="I461" t="s">
        <v>448</v>
      </c>
      <c r="J461" t="str">
        <f t="shared" si="14"/>
        <v>Preliminary</v>
      </c>
      <c r="K461">
        <f t="shared" si="15"/>
        <v>1</v>
      </c>
    </row>
    <row r="462" spans="1:11">
      <c r="A462" t="s">
        <v>89</v>
      </c>
      <c r="B462" t="s">
        <v>90</v>
      </c>
      <c r="C462" t="s">
        <v>50</v>
      </c>
      <c r="D462" t="s">
        <v>31</v>
      </c>
      <c r="E462">
        <v>0.125</v>
      </c>
      <c r="F462">
        <v>30</v>
      </c>
      <c r="G462">
        <v>2</v>
      </c>
      <c r="H462">
        <v>2020</v>
      </c>
      <c r="I462" t="s">
        <v>448</v>
      </c>
      <c r="J462" t="str">
        <f t="shared" si="14"/>
        <v>Preliminary</v>
      </c>
      <c r="K462">
        <f t="shared" si="15"/>
        <v>0</v>
      </c>
    </row>
    <row r="463" spans="1:11">
      <c r="A463" t="s">
        <v>449</v>
      </c>
      <c r="B463" t="s">
        <v>450</v>
      </c>
      <c r="C463" t="s">
        <v>20</v>
      </c>
      <c r="D463" t="s">
        <v>31</v>
      </c>
      <c r="E463">
        <v>0.125</v>
      </c>
      <c r="F463">
        <v>8</v>
      </c>
      <c r="G463">
        <v>3</v>
      </c>
      <c r="H463">
        <v>2020</v>
      </c>
      <c r="I463" t="s">
        <v>448</v>
      </c>
      <c r="J463" t="str">
        <f t="shared" si="14"/>
        <v>Preliminary</v>
      </c>
      <c r="K463">
        <f t="shared" si="15"/>
        <v>0</v>
      </c>
    </row>
    <row r="464" spans="1:11">
      <c r="A464" t="s">
        <v>356</v>
      </c>
      <c r="B464" t="s">
        <v>357</v>
      </c>
      <c r="C464" t="s">
        <v>12</v>
      </c>
      <c r="D464" t="s">
        <v>17</v>
      </c>
      <c r="E464">
        <v>0.125</v>
      </c>
      <c r="F464">
        <v>27</v>
      </c>
      <c r="G464">
        <v>1</v>
      </c>
      <c r="H464">
        <v>2020</v>
      </c>
      <c r="I464" t="s">
        <v>451</v>
      </c>
      <c r="J464" t="str">
        <f t="shared" si="14"/>
        <v>Preliminary</v>
      </c>
      <c r="K464">
        <f t="shared" si="15"/>
        <v>1</v>
      </c>
    </row>
    <row r="465" spans="1:11">
      <c r="A465" t="s">
        <v>41</v>
      </c>
      <c r="B465" t="s">
        <v>42</v>
      </c>
      <c r="C465" t="s">
        <v>27</v>
      </c>
      <c r="D465" t="s">
        <v>17</v>
      </c>
      <c r="E465">
        <v>0.125</v>
      </c>
      <c r="F465">
        <v>26</v>
      </c>
      <c r="G465">
        <v>2</v>
      </c>
      <c r="H465">
        <v>2020</v>
      </c>
      <c r="I465" t="s">
        <v>451</v>
      </c>
      <c r="J465" t="str">
        <f t="shared" si="14"/>
        <v>Preliminary</v>
      </c>
      <c r="K465">
        <f t="shared" si="15"/>
        <v>0</v>
      </c>
    </row>
    <row r="466" spans="1:11">
      <c r="A466" t="s">
        <v>379</v>
      </c>
      <c r="B466" t="s">
        <v>380</v>
      </c>
      <c r="C466" t="s">
        <v>80</v>
      </c>
      <c r="D466" t="s">
        <v>17</v>
      </c>
      <c r="E466">
        <v>0.125</v>
      </c>
      <c r="F466">
        <v>23</v>
      </c>
      <c r="G466">
        <v>3</v>
      </c>
      <c r="H466">
        <v>2020</v>
      </c>
      <c r="I466" t="s">
        <v>451</v>
      </c>
      <c r="J466" t="str">
        <f t="shared" si="14"/>
        <v>Preliminary</v>
      </c>
      <c r="K466">
        <f t="shared" si="15"/>
        <v>0</v>
      </c>
    </row>
    <row r="467" spans="1:11">
      <c r="A467" t="s">
        <v>86</v>
      </c>
      <c r="B467" t="s">
        <v>87</v>
      </c>
      <c r="C467" t="s">
        <v>20</v>
      </c>
      <c r="D467" t="s">
        <v>17</v>
      </c>
      <c r="E467">
        <v>0.125</v>
      </c>
      <c r="F467">
        <v>40</v>
      </c>
      <c r="G467">
        <v>1</v>
      </c>
      <c r="H467">
        <v>2020</v>
      </c>
      <c r="I467" t="s">
        <v>452</v>
      </c>
      <c r="J467" t="str">
        <f t="shared" si="14"/>
        <v>Preliminary</v>
      </c>
      <c r="K467">
        <f t="shared" si="15"/>
        <v>1</v>
      </c>
    </row>
    <row r="468" spans="1:11">
      <c r="A468" t="s">
        <v>334</v>
      </c>
      <c r="B468" t="s">
        <v>335</v>
      </c>
      <c r="C468" t="s">
        <v>27</v>
      </c>
      <c r="D468" t="s">
        <v>17</v>
      </c>
      <c r="E468">
        <v>0.125</v>
      </c>
      <c r="F468">
        <v>25</v>
      </c>
      <c r="G468">
        <v>2</v>
      </c>
      <c r="H468">
        <v>2020</v>
      </c>
      <c r="I468" t="s">
        <v>452</v>
      </c>
      <c r="J468" t="str">
        <f t="shared" si="14"/>
        <v>Preliminary</v>
      </c>
      <c r="K468">
        <f t="shared" si="15"/>
        <v>0</v>
      </c>
    </row>
    <row r="469" spans="1:11">
      <c r="A469" t="s">
        <v>387</v>
      </c>
      <c r="B469" t="s">
        <v>388</v>
      </c>
      <c r="C469" t="s">
        <v>50</v>
      </c>
      <c r="D469" t="s">
        <v>17</v>
      </c>
      <c r="E469">
        <v>0.125</v>
      </c>
      <c r="F469">
        <v>12</v>
      </c>
      <c r="G469">
        <v>3</v>
      </c>
      <c r="H469">
        <v>2020</v>
      </c>
      <c r="I469" t="s">
        <v>452</v>
      </c>
      <c r="J469" t="str">
        <f t="shared" si="14"/>
        <v>Preliminary</v>
      </c>
      <c r="K469">
        <f t="shared" si="15"/>
        <v>0</v>
      </c>
    </row>
    <row r="470" spans="1:11">
      <c r="A470" t="s">
        <v>48</v>
      </c>
      <c r="B470" t="s">
        <v>49</v>
      </c>
      <c r="C470" t="s">
        <v>50</v>
      </c>
      <c r="D470" t="s">
        <v>13</v>
      </c>
      <c r="E470">
        <v>0.125</v>
      </c>
      <c r="F470">
        <v>36</v>
      </c>
      <c r="G470">
        <v>1</v>
      </c>
      <c r="H470">
        <v>2020</v>
      </c>
      <c r="I470" t="s">
        <v>453</v>
      </c>
      <c r="J470" t="str">
        <f t="shared" si="14"/>
        <v>Preliminary</v>
      </c>
      <c r="K470">
        <f t="shared" si="15"/>
        <v>1</v>
      </c>
    </row>
    <row r="471" spans="1:11">
      <c r="A471" t="s">
        <v>116</v>
      </c>
      <c r="B471" t="s">
        <v>117</v>
      </c>
      <c r="C471" t="s">
        <v>118</v>
      </c>
      <c r="D471" t="s">
        <v>13</v>
      </c>
      <c r="E471">
        <v>0.125</v>
      </c>
      <c r="F471">
        <v>29</v>
      </c>
      <c r="G471">
        <v>2</v>
      </c>
      <c r="H471">
        <v>2020</v>
      </c>
      <c r="I471" t="s">
        <v>453</v>
      </c>
      <c r="J471" t="str">
        <f t="shared" si="14"/>
        <v>Preliminary</v>
      </c>
      <c r="K471">
        <f t="shared" si="15"/>
        <v>0</v>
      </c>
    </row>
    <row r="472" spans="1:11">
      <c r="A472" t="s">
        <v>280</v>
      </c>
      <c r="B472" t="s">
        <v>281</v>
      </c>
      <c r="C472" t="s">
        <v>39</v>
      </c>
      <c r="D472" t="s">
        <v>17</v>
      </c>
      <c r="E472">
        <v>0.125</v>
      </c>
      <c r="F472">
        <v>16</v>
      </c>
      <c r="G472">
        <v>3</v>
      </c>
      <c r="H472">
        <v>2020</v>
      </c>
      <c r="I472" t="s">
        <v>453</v>
      </c>
      <c r="J472" t="str">
        <f t="shared" si="14"/>
        <v>Preliminary</v>
      </c>
      <c r="K472">
        <f t="shared" si="15"/>
        <v>0</v>
      </c>
    </row>
    <row r="473" spans="1:11">
      <c r="A473" t="s">
        <v>29</v>
      </c>
      <c r="B473" t="s">
        <v>30</v>
      </c>
      <c r="C473" t="s">
        <v>24</v>
      </c>
      <c r="D473" t="s">
        <v>31</v>
      </c>
      <c r="E473">
        <v>0.125</v>
      </c>
      <c r="F473">
        <v>46</v>
      </c>
      <c r="G473">
        <v>1</v>
      </c>
      <c r="H473">
        <v>2020</v>
      </c>
      <c r="I473" t="s">
        <v>454</v>
      </c>
      <c r="J473" t="str">
        <f t="shared" si="14"/>
        <v>Preliminary</v>
      </c>
      <c r="K473">
        <f t="shared" si="15"/>
        <v>1</v>
      </c>
    </row>
    <row r="474" spans="1:11">
      <c r="A474" t="s">
        <v>306</v>
      </c>
      <c r="B474" t="s">
        <v>307</v>
      </c>
      <c r="C474" t="s">
        <v>27</v>
      </c>
      <c r="D474" t="s">
        <v>17</v>
      </c>
      <c r="E474">
        <v>0.125</v>
      </c>
      <c r="F474">
        <v>25</v>
      </c>
      <c r="G474">
        <v>2</v>
      </c>
      <c r="H474">
        <v>2020</v>
      </c>
      <c r="I474" t="s">
        <v>454</v>
      </c>
      <c r="J474" t="str">
        <f t="shared" si="14"/>
        <v>Preliminary</v>
      </c>
      <c r="K474">
        <f t="shared" si="15"/>
        <v>0</v>
      </c>
    </row>
    <row r="475" spans="1:11">
      <c r="A475" t="s">
        <v>150</v>
      </c>
      <c r="B475" t="s">
        <v>151</v>
      </c>
      <c r="C475" t="s">
        <v>12</v>
      </c>
      <c r="D475" t="s">
        <v>17</v>
      </c>
      <c r="E475">
        <v>0.125</v>
      </c>
      <c r="F475">
        <v>18</v>
      </c>
      <c r="G475">
        <v>3</v>
      </c>
      <c r="H475">
        <v>2020</v>
      </c>
      <c r="I475" t="s">
        <v>454</v>
      </c>
      <c r="J475" t="str">
        <f t="shared" si="14"/>
        <v>Preliminary</v>
      </c>
      <c r="K475">
        <f t="shared" si="15"/>
        <v>0</v>
      </c>
    </row>
    <row r="476" spans="1:11">
      <c r="A476" t="s">
        <v>384</v>
      </c>
      <c r="B476" t="s">
        <v>385</v>
      </c>
      <c r="C476" t="s">
        <v>24</v>
      </c>
      <c r="D476" t="s">
        <v>17</v>
      </c>
      <c r="E476">
        <v>0.125</v>
      </c>
      <c r="F476">
        <v>28</v>
      </c>
      <c r="G476">
        <v>1</v>
      </c>
      <c r="H476">
        <v>2020</v>
      </c>
      <c r="I476" t="s">
        <v>455</v>
      </c>
      <c r="J476" t="str">
        <f t="shared" si="14"/>
        <v>Preliminary</v>
      </c>
      <c r="K476">
        <f t="shared" si="15"/>
        <v>1</v>
      </c>
    </row>
    <row r="477" spans="1:11">
      <c r="A477" t="s">
        <v>175</v>
      </c>
      <c r="B477" t="s">
        <v>176</v>
      </c>
      <c r="C477" t="s">
        <v>177</v>
      </c>
      <c r="D477" t="s">
        <v>31</v>
      </c>
      <c r="E477">
        <v>0.125</v>
      </c>
      <c r="F477">
        <v>27</v>
      </c>
      <c r="G477">
        <v>2</v>
      </c>
      <c r="H477">
        <v>2020</v>
      </c>
      <c r="I477" t="s">
        <v>455</v>
      </c>
      <c r="J477" t="str">
        <f t="shared" si="14"/>
        <v>Preliminary</v>
      </c>
      <c r="K477">
        <f t="shared" si="15"/>
        <v>0</v>
      </c>
    </row>
    <row r="478" spans="1:11">
      <c r="A478" t="s">
        <v>456</v>
      </c>
      <c r="B478" t="s">
        <v>457</v>
      </c>
      <c r="C478" t="s">
        <v>12</v>
      </c>
      <c r="D478" t="s">
        <v>17</v>
      </c>
      <c r="E478">
        <v>0.125</v>
      </c>
      <c r="F478">
        <v>17</v>
      </c>
      <c r="G478">
        <v>3</v>
      </c>
      <c r="H478">
        <v>2020</v>
      </c>
      <c r="I478" t="s">
        <v>455</v>
      </c>
      <c r="J478" t="str">
        <f t="shared" si="14"/>
        <v>Preliminary</v>
      </c>
      <c r="K478">
        <f t="shared" si="15"/>
        <v>0</v>
      </c>
    </row>
    <row r="479" spans="1:11">
      <c r="A479" t="s">
        <v>145</v>
      </c>
      <c r="B479" t="s">
        <v>146</v>
      </c>
      <c r="C479" t="s">
        <v>24</v>
      </c>
      <c r="D479" t="s">
        <v>31</v>
      </c>
      <c r="E479">
        <v>0.125</v>
      </c>
      <c r="F479">
        <v>46</v>
      </c>
      <c r="G479">
        <v>1</v>
      </c>
      <c r="H479">
        <v>2020</v>
      </c>
      <c r="I479" t="s">
        <v>458</v>
      </c>
      <c r="J479" t="str">
        <f t="shared" si="14"/>
        <v>Preliminary</v>
      </c>
      <c r="K479">
        <f t="shared" si="15"/>
        <v>1</v>
      </c>
    </row>
    <row r="480" spans="1:11">
      <c r="A480" t="s">
        <v>459</v>
      </c>
      <c r="B480" t="s">
        <v>460</v>
      </c>
      <c r="C480" t="s">
        <v>177</v>
      </c>
      <c r="D480" t="s">
        <v>17</v>
      </c>
      <c r="E480">
        <v>0.125</v>
      </c>
      <c r="F480">
        <v>23</v>
      </c>
      <c r="G480">
        <v>2</v>
      </c>
      <c r="H480">
        <v>2020</v>
      </c>
      <c r="I480" t="s">
        <v>458</v>
      </c>
      <c r="J480" t="str">
        <f t="shared" si="14"/>
        <v>Preliminary</v>
      </c>
      <c r="K480">
        <f t="shared" si="15"/>
        <v>0</v>
      </c>
    </row>
    <row r="481" spans="1:11">
      <c r="A481" t="s">
        <v>461</v>
      </c>
      <c r="B481" t="s">
        <v>462</v>
      </c>
      <c r="C481" t="s">
        <v>39</v>
      </c>
      <c r="D481" t="s">
        <v>17</v>
      </c>
      <c r="E481">
        <v>0.125</v>
      </c>
      <c r="F481">
        <v>14</v>
      </c>
      <c r="G481">
        <v>3</v>
      </c>
      <c r="H481">
        <v>2020</v>
      </c>
      <c r="I481" t="s">
        <v>458</v>
      </c>
      <c r="J481" t="str">
        <f t="shared" si="14"/>
        <v>Preliminary</v>
      </c>
      <c r="K481">
        <f t="shared" si="15"/>
        <v>0</v>
      </c>
    </row>
    <row r="482" spans="1:11">
      <c r="A482" t="s">
        <v>81</v>
      </c>
      <c r="B482" t="s">
        <v>82</v>
      </c>
      <c r="C482" t="s">
        <v>24</v>
      </c>
      <c r="D482" t="s">
        <v>13</v>
      </c>
      <c r="E482">
        <v>1</v>
      </c>
      <c r="F482">
        <v>39</v>
      </c>
      <c r="G482">
        <v>1</v>
      </c>
      <c r="H482">
        <v>2019</v>
      </c>
      <c r="I482" t="s">
        <v>463</v>
      </c>
      <c r="J482" t="str">
        <f t="shared" si="14"/>
        <v>Final</v>
      </c>
      <c r="K482">
        <f t="shared" si="15"/>
        <v>1</v>
      </c>
    </row>
    <row r="483" spans="1:11">
      <c r="A483" t="s">
        <v>10</v>
      </c>
      <c r="B483" t="s">
        <v>11</v>
      </c>
      <c r="C483" t="s">
        <v>12</v>
      </c>
      <c r="D483" t="s">
        <v>13</v>
      </c>
      <c r="E483">
        <v>1</v>
      </c>
      <c r="F483">
        <v>34</v>
      </c>
      <c r="G483">
        <v>2</v>
      </c>
      <c r="H483">
        <v>2019</v>
      </c>
      <c r="I483" t="s">
        <v>463</v>
      </c>
      <c r="J483" t="str">
        <f t="shared" si="14"/>
        <v>Final</v>
      </c>
      <c r="K483">
        <f t="shared" si="15"/>
        <v>0</v>
      </c>
    </row>
    <row r="484" spans="1:11">
      <c r="A484" t="s">
        <v>197</v>
      </c>
      <c r="B484" t="s">
        <v>198</v>
      </c>
      <c r="C484" t="s">
        <v>39</v>
      </c>
      <c r="D484" t="s">
        <v>13</v>
      </c>
      <c r="E484">
        <v>1</v>
      </c>
      <c r="F484">
        <v>25</v>
      </c>
      <c r="G484">
        <v>3</v>
      </c>
      <c r="H484">
        <v>2019</v>
      </c>
      <c r="I484" t="s">
        <v>463</v>
      </c>
      <c r="J484" t="str">
        <f t="shared" si="14"/>
        <v>Final</v>
      </c>
      <c r="K484">
        <f t="shared" si="15"/>
        <v>0</v>
      </c>
    </row>
    <row r="485" spans="1:11">
      <c r="A485" t="s">
        <v>81</v>
      </c>
      <c r="B485" t="s">
        <v>82</v>
      </c>
      <c r="C485" t="s">
        <v>24</v>
      </c>
      <c r="D485" t="s">
        <v>13</v>
      </c>
      <c r="E485">
        <v>0.5</v>
      </c>
      <c r="F485">
        <v>53</v>
      </c>
      <c r="G485">
        <v>1</v>
      </c>
      <c r="H485">
        <v>2019</v>
      </c>
      <c r="I485" t="s">
        <v>464</v>
      </c>
      <c r="J485" t="str">
        <f t="shared" si="14"/>
        <v>Semifinal</v>
      </c>
      <c r="K485">
        <f t="shared" si="15"/>
        <v>1</v>
      </c>
    </row>
    <row r="486" spans="1:11">
      <c r="A486" t="s">
        <v>25</v>
      </c>
      <c r="B486" t="s">
        <v>26</v>
      </c>
      <c r="C486" t="s">
        <v>27</v>
      </c>
      <c r="D486" t="s">
        <v>17</v>
      </c>
      <c r="E486">
        <v>0.5</v>
      </c>
      <c r="F486">
        <v>29</v>
      </c>
      <c r="G486">
        <v>2</v>
      </c>
      <c r="H486">
        <v>2019</v>
      </c>
      <c r="I486" t="s">
        <v>464</v>
      </c>
      <c r="J486" t="str">
        <f t="shared" si="14"/>
        <v>Semifinal</v>
      </c>
      <c r="K486">
        <f t="shared" si="15"/>
        <v>0</v>
      </c>
    </row>
    <row r="487" spans="1:11">
      <c r="A487" t="s">
        <v>48</v>
      </c>
      <c r="B487" t="s">
        <v>49</v>
      </c>
      <c r="C487" t="s">
        <v>50</v>
      </c>
      <c r="D487" t="s">
        <v>13</v>
      </c>
      <c r="E487">
        <v>0.5</v>
      </c>
      <c r="F487">
        <v>15</v>
      </c>
      <c r="G487">
        <v>3</v>
      </c>
      <c r="H487">
        <v>2019</v>
      </c>
      <c r="I487" t="s">
        <v>464</v>
      </c>
      <c r="J487" t="str">
        <f t="shared" si="14"/>
        <v>Semifinal</v>
      </c>
      <c r="K487">
        <f t="shared" si="15"/>
        <v>0</v>
      </c>
    </row>
    <row r="488" spans="1:11">
      <c r="A488" t="s">
        <v>10</v>
      </c>
      <c r="B488" t="s">
        <v>11</v>
      </c>
      <c r="C488" t="s">
        <v>12</v>
      </c>
      <c r="D488" t="s">
        <v>13</v>
      </c>
      <c r="E488">
        <v>0.5</v>
      </c>
      <c r="F488">
        <v>48</v>
      </c>
      <c r="G488">
        <v>1</v>
      </c>
      <c r="H488">
        <v>2019</v>
      </c>
      <c r="I488" t="s">
        <v>465</v>
      </c>
      <c r="J488" t="str">
        <f t="shared" si="14"/>
        <v>Semifinal</v>
      </c>
      <c r="K488">
        <f t="shared" si="15"/>
        <v>1</v>
      </c>
    </row>
    <row r="489" spans="1:11">
      <c r="A489" t="s">
        <v>160</v>
      </c>
      <c r="B489" t="s">
        <v>161</v>
      </c>
      <c r="C489" t="s">
        <v>24</v>
      </c>
      <c r="D489" t="s">
        <v>13</v>
      </c>
      <c r="E489">
        <v>0.5</v>
      </c>
      <c r="F489">
        <v>34</v>
      </c>
      <c r="G489">
        <v>2</v>
      </c>
      <c r="H489">
        <v>2019</v>
      </c>
      <c r="I489" t="s">
        <v>465</v>
      </c>
      <c r="J489" t="str">
        <f t="shared" si="14"/>
        <v>Semifinal</v>
      </c>
      <c r="K489">
        <f t="shared" si="15"/>
        <v>0</v>
      </c>
    </row>
    <row r="490" spans="1:11">
      <c r="A490" t="s">
        <v>18</v>
      </c>
      <c r="B490" t="s">
        <v>19</v>
      </c>
      <c r="C490" t="s">
        <v>20</v>
      </c>
      <c r="D490" t="s">
        <v>13</v>
      </c>
      <c r="E490">
        <v>0.5</v>
      </c>
      <c r="F490">
        <v>31</v>
      </c>
      <c r="G490">
        <v>3</v>
      </c>
      <c r="H490">
        <v>2019</v>
      </c>
      <c r="I490" t="s">
        <v>465</v>
      </c>
      <c r="J490" t="str">
        <f t="shared" si="14"/>
        <v>Semifinal</v>
      </c>
      <c r="K490">
        <f t="shared" si="15"/>
        <v>0</v>
      </c>
    </row>
    <row r="491" spans="1:11">
      <c r="A491" t="s">
        <v>197</v>
      </c>
      <c r="B491" t="s">
        <v>198</v>
      </c>
      <c r="C491" t="s">
        <v>39</v>
      </c>
      <c r="D491" t="s">
        <v>13</v>
      </c>
      <c r="E491">
        <v>0.5</v>
      </c>
      <c r="F491">
        <v>48</v>
      </c>
      <c r="G491">
        <v>1</v>
      </c>
      <c r="H491">
        <v>2019</v>
      </c>
      <c r="I491" t="s">
        <v>466</v>
      </c>
      <c r="J491" t="str">
        <f t="shared" si="14"/>
        <v>Semifinal</v>
      </c>
      <c r="K491">
        <f t="shared" si="15"/>
        <v>1</v>
      </c>
    </row>
    <row r="492" spans="1:11">
      <c r="A492" t="s">
        <v>436</v>
      </c>
      <c r="B492" t="s">
        <v>437</v>
      </c>
      <c r="C492" t="s">
        <v>20</v>
      </c>
      <c r="D492" t="s">
        <v>17</v>
      </c>
      <c r="E492">
        <v>0.5</v>
      </c>
      <c r="F492">
        <v>28</v>
      </c>
      <c r="G492">
        <v>2</v>
      </c>
      <c r="H492">
        <v>2019</v>
      </c>
      <c r="I492" t="s">
        <v>466</v>
      </c>
      <c r="J492" t="str">
        <f t="shared" si="14"/>
        <v>Semifinal</v>
      </c>
      <c r="K492">
        <f t="shared" si="15"/>
        <v>0</v>
      </c>
    </row>
    <row r="493" spans="1:11">
      <c r="A493" t="s">
        <v>29</v>
      </c>
      <c r="B493" t="s">
        <v>30</v>
      </c>
      <c r="C493" t="s">
        <v>24</v>
      </c>
      <c r="D493" t="s">
        <v>31</v>
      </c>
      <c r="E493">
        <v>0.5</v>
      </c>
      <c r="F493">
        <v>26</v>
      </c>
      <c r="G493">
        <v>3</v>
      </c>
      <c r="H493">
        <v>2019</v>
      </c>
      <c r="I493" t="s">
        <v>466</v>
      </c>
      <c r="J493" t="str">
        <f t="shared" si="14"/>
        <v>Semifinal</v>
      </c>
      <c r="K493">
        <f t="shared" si="15"/>
        <v>0</v>
      </c>
    </row>
    <row r="494" spans="1:11">
      <c r="A494" t="s">
        <v>81</v>
      </c>
      <c r="B494" t="s">
        <v>82</v>
      </c>
      <c r="C494" t="s">
        <v>24</v>
      </c>
      <c r="D494" t="s">
        <v>13</v>
      </c>
      <c r="E494">
        <v>0.25</v>
      </c>
      <c r="F494">
        <v>57</v>
      </c>
      <c r="G494">
        <v>1</v>
      </c>
      <c r="H494">
        <v>2019</v>
      </c>
      <c r="I494" t="s">
        <v>467</v>
      </c>
      <c r="J494" t="str">
        <f t="shared" si="14"/>
        <v>Quarterfinal</v>
      </c>
      <c r="K494">
        <f t="shared" si="15"/>
        <v>1</v>
      </c>
    </row>
    <row r="495" spans="1:11">
      <c r="A495" t="s">
        <v>78</v>
      </c>
      <c r="B495" t="s">
        <v>79</v>
      </c>
      <c r="C495" t="s">
        <v>80</v>
      </c>
      <c r="D495" t="s">
        <v>17</v>
      </c>
      <c r="E495">
        <v>0.25</v>
      </c>
      <c r="F495">
        <v>45</v>
      </c>
      <c r="G495">
        <v>2</v>
      </c>
      <c r="H495">
        <v>2019</v>
      </c>
      <c r="I495" t="s">
        <v>467</v>
      </c>
      <c r="J495" t="str">
        <f t="shared" si="14"/>
        <v>Quarterfinal</v>
      </c>
      <c r="K495">
        <f t="shared" si="15"/>
        <v>0</v>
      </c>
    </row>
    <row r="496" spans="1:11">
      <c r="A496" t="s">
        <v>384</v>
      </c>
      <c r="B496" t="s">
        <v>385</v>
      </c>
      <c r="C496" t="s">
        <v>24</v>
      </c>
      <c r="D496" t="s">
        <v>17</v>
      </c>
      <c r="E496">
        <v>0.25</v>
      </c>
      <c r="F496">
        <v>31</v>
      </c>
      <c r="G496">
        <v>3</v>
      </c>
      <c r="H496">
        <v>2019</v>
      </c>
      <c r="I496" t="s">
        <v>467</v>
      </c>
      <c r="J496" t="str">
        <f t="shared" si="14"/>
        <v>Quarterfinal</v>
      </c>
      <c r="K496">
        <f t="shared" si="15"/>
        <v>0</v>
      </c>
    </row>
    <row r="497" spans="1:11">
      <c r="A497" t="s">
        <v>29</v>
      </c>
      <c r="B497" t="s">
        <v>30</v>
      </c>
      <c r="C497" t="s">
        <v>24</v>
      </c>
      <c r="D497" t="s">
        <v>31</v>
      </c>
      <c r="E497">
        <v>0.25</v>
      </c>
      <c r="F497">
        <v>57</v>
      </c>
      <c r="G497">
        <v>1</v>
      </c>
      <c r="H497">
        <v>2019</v>
      </c>
      <c r="I497" t="s">
        <v>468</v>
      </c>
      <c r="J497" t="str">
        <f t="shared" si="14"/>
        <v>Quarterfinal</v>
      </c>
      <c r="K497">
        <f t="shared" si="15"/>
        <v>1</v>
      </c>
    </row>
    <row r="498" spans="1:11">
      <c r="A498" t="s">
        <v>15</v>
      </c>
      <c r="B498" t="s">
        <v>16</v>
      </c>
      <c r="C498" t="s">
        <v>12</v>
      </c>
      <c r="D498" t="s">
        <v>17</v>
      </c>
      <c r="E498">
        <v>0.25</v>
      </c>
      <c r="F498">
        <v>49</v>
      </c>
      <c r="G498">
        <v>2</v>
      </c>
      <c r="H498">
        <v>2019</v>
      </c>
      <c r="I498" t="s">
        <v>468</v>
      </c>
      <c r="J498" t="str">
        <f t="shared" si="14"/>
        <v>Quarterfinal</v>
      </c>
      <c r="K498">
        <f t="shared" si="15"/>
        <v>0</v>
      </c>
    </row>
    <row r="499" spans="1:11">
      <c r="A499" t="s">
        <v>35</v>
      </c>
      <c r="B499" t="s">
        <v>36</v>
      </c>
      <c r="C499" t="s">
        <v>20</v>
      </c>
      <c r="D499" t="s">
        <v>13</v>
      </c>
      <c r="E499">
        <v>0.25</v>
      </c>
      <c r="F499">
        <v>27</v>
      </c>
      <c r="G499">
        <v>3</v>
      </c>
      <c r="H499">
        <v>2019</v>
      </c>
      <c r="I499" t="s">
        <v>468</v>
      </c>
      <c r="J499" t="str">
        <f t="shared" si="14"/>
        <v>Quarterfinal</v>
      </c>
      <c r="K499">
        <f t="shared" si="15"/>
        <v>0</v>
      </c>
    </row>
    <row r="500" spans="1:11">
      <c r="A500" t="s">
        <v>10</v>
      </c>
      <c r="B500" t="s">
        <v>11</v>
      </c>
      <c r="C500" t="s">
        <v>12</v>
      </c>
      <c r="D500" t="s">
        <v>13</v>
      </c>
      <c r="E500">
        <v>0.25</v>
      </c>
      <c r="F500">
        <v>68</v>
      </c>
      <c r="G500">
        <v>1</v>
      </c>
      <c r="H500">
        <v>2019</v>
      </c>
      <c r="I500" t="s">
        <v>469</v>
      </c>
      <c r="J500" t="str">
        <f t="shared" si="14"/>
        <v>Quarterfinal</v>
      </c>
      <c r="K500">
        <f t="shared" si="15"/>
        <v>1</v>
      </c>
    </row>
    <row r="501" spans="1:11">
      <c r="A501" t="s">
        <v>37</v>
      </c>
      <c r="B501" t="s">
        <v>38</v>
      </c>
      <c r="C501" t="s">
        <v>39</v>
      </c>
      <c r="D501" t="s">
        <v>13</v>
      </c>
      <c r="E501">
        <v>0.25</v>
      </c>
      <c r="F501">
        <v>47</v>
      </c>
      <c r="G501">
        <v>2</v>
      </c>
      <c r="H501">
        <v>2019</v>
      </c>
      <c r="I501" t="s">
        <v>469</v>
      </c>
      <c r="J501" t="str">
        <f t="shared" si="14"/>
        <v>Quarterfinal</v>
      </c>
      <c r="K501">
        <f t="shared" si="15"/>
        <v>0</v>
      </c>
    </row>
    <row r="502" spans="1:11">
      <c r="A502" t="s">
        <v>341</v>
      </c>
      <c r="B502" t="s">
        <v>342</v>
      </c>
      <c r="C502" t="s">
        <v>50</v>
      </c>
      <c r="D502" t="s">
        <v>13</v>
      </c>
      <c r="E502">
        <v>0.25</v>
      </c>
      <c r="F502">
        <v>22</v>
      </c>
      <c r="G502">
        <v>3</v>
      </c>
      <c r="H502">
        <v>2019</v>
      </c>
      <c r="I502" t="s">
        <v>469</v>
      </c>
      <c r="J502" t="str">
        <f t="shared" si="14"/>
        <v>Quarterfinal</v>
      </c>
      <c r="K502">
        <f t="shared" si="15"/>
        <v>0</v>
      </c>
    </row>
    <row r="503" spans="1:11">
      <c r="A503" t="s">
        <v>197</v>
      </c>
      <c r="B503" t="s">
        <v>198</v>
      </c>
      <c r="C503" t="s">
        <v>39</v>
      </c>
      <c r="D503" t="s">
        <v>13</v>
      </c>
      <c r="E503">
        <v>0.25</v>
      </c>
      <c r="F503">
        <v>54</v>
      </c>
      <c r="G503">
        <v>1</v>
      </c>
      <c r="H503">
        <v>2019</v>
      </c>
      <c r="I503" t="s">
        <v>470</v>
      </c>
      <c r="J503" t="str">
        <f t="shared" si="14"/>
        <v>Quarterfinal</v>
      </c>
      <c r="K503">
        <f t="shared" si="15"/>
        <v>1</v>
      </c>
    </row>
    <row r="504" spans="1:11">
      <c r="A504" t="s">
        <v>183</v>
      </c>
      <c r="B504" t="s">
        <v>184</v>
      </c>
      <c r="C504" t="s">
        <v>20</v>
      </c>
      <c r="D504" t="s">
        <v>17</v>
      </c>
      <c r="E504">
        <v>0.25</v>
      </c>
      <c r="F504">
        <v>49</v>
      </c>
      <c r="G504">
        <v>2</v>
      </c>
      <c r="H504">
        <v>2019</v>
      </c>
      <c r="I504" t="s">
        <v>470</v>
      </c>
      <c r="J504" t="str">
        <f t="shared" si="14"/>
        <v>Quarterfinal</v>
      </c>
      <c r="K504">
        <f t="shared" si="15"/>
        <v>0</v>
      </c>
    </row>
    <row r="505" spans="1:11">
      <c r="A505" t="s">
        <v>421</v>
      </c>
      <c r="B505" t="s">
        <v>422</v>
      </c>
      <c r="C505" t="s">
        <v>27</v>
      </c>
      <c r="D505" t="s">
        <v>17</v>
      </c>
      <c r="E505">
        <v>0.25</v>
      </c>
      <c r="F505">
        <v>17</v>
      </c>
      <c r="G505">
        <v>3</v>
      </c>
      <c r="H505">
        <v>2019</v>
      </c>
      <c r="I505" t="s">
        <v>470</v>
      </c>
      <c r="J505" t="str">
        <f t="shared" si="14"/>
        <v>Quarterfinal</v>
      </c>
      <c r="K505">
        <f t="shared" si="15"/>
        <v>0</v>
      </c>
    </row>
    <row r="506" spans="1:11">
      <c r="A506" t="s">
        <v>160</v>
      </c>
      <c r="B506" t="s">
        <v>161</v>
      </c>
      <c r="C506" t="s">
        <v>24</v>
      </c>
      <c r="D506" t="s">
        <v>13</v>
      </c>
      <c r="E506">
        <v>0.25</v>
      </c>
      <c r="F506">
        <v>46</v>
      </c>
      <c r="G506">
        <v>1</v>
      </c>
      <c r="H506">
        <v>2019</v>
      </c>
      <c r="I506" t="s">
        <v>471</v>
      </c>
      <c r="J506" t="str">
        <f t="shared" si="14"/>
        <v>Quarterfinal</v>
      </c>
      <c r="K506">
        <f t="shared" si="15"/>
        <v>1</v>
      </c>
    </row>
    <row r="507" spans="1:11">
      <c r="A507" t="s">
        <v>212</v>
      </c>
      <c r="B507" t="s">
        <v>213</v>
      </c>
      <c r="C507" t="s">
        <v>20</v>
      </c>
      <c r="D507" t="s">
        <v>17</v>
      </c>
      <c r="E507">
        <v>0.25</v>
      </c>
      <c r="F507">
        <v>42</v>
      </c>
      <c r="G507">
        <v>2</v>
      </c>
      <c r="H507">
        <v>2019</v>
      </c>
      <c r="I507" t="s">
        <v>471</v>
      </c>
      <c r="J507" t="str">
        <f t="shared" si="14"/>
        <v>Quarterfinal</v>
      </c>
      <c r="K507">
        <f t="shared" si="15"/>
        <v>0</v>
      </c>
    </row>
    <row r="508" spans="1:11">
      <c r="A508" t="s">
        <v>379</v>
      </c>
      <c r="B508" t="s">
        <v>380</v>
      </c>
      <c r="C508" t="s">
        <v>80</v>
      </c>
      <c r="D508" t="s">
        <v>17</v>
      </c>
      <c r="E508">
        <v>0.25</v>
      </c>
      <c r="F508">
        <v>14</v>
      </c>
      <c r="G508">
        <v>3</v>
      </c>
      <c r="H508">
        <v>2019</v>
      </c>
      <c r="I508" t="s">
        <v>471</v>
      </c>
      <c r="J508" t="str">
        <f t="shared" si="14"/>
        <v>Quarterfinal</v>
      </c>
      <c r="K508">
        <f t="shared" si="15"/>
        <v>0</v>
      </c>
    </row>
    <row r="509" spans="1:11">
      <c r="A509" t="s">
        <v>25</v>
      </c>
      <c r="B509" t="s">
        <v>26</v>
      </c>
      <c r="C509" t="s">
        <v>27</v>
      </c>
      <c r="D509" t="s">
        <v>17</v>
      </c>
      <c r="E509">
        <v>0.25</v>
      </c>
      <c r="F509">
        <v>47</v>
      </c>
      <c r="G509">
        <v>1</v>
      </c>
      <c r="H509">
        <v>2019</v>
      </c>
      <c r="I509" t="s">
        <v>472</v>
      </c>
      <c r="J509" t="str">
        <f t="shared" si="14"/>
        <v>Quarterfinal</v>
      </c>
      <c r="K509">
        <f t="shared" si="15"/>
        <v>1</v>
      </c>
    </row>
    <row r="510" spans="1:11">
      <c r="A510" t="s">
        <v>461</v>
      </c>
      <c r="B510" t="s">
        <v>462</v>
      </c>
      <c r="C510" t="s">
        <v>39</v>
      </c>
      <c r="D510" t="s">
        <v>17</v>
      </c>
      <c r="E510">
        <v>0.25</v>
      </c>
      <c r="F510">
        <v>28</v>
      </c>
      <c r="G510">
        <v>2</v>
      </c>
      <c r="H510">
        <v>2019</v>
      </c>
      <c r="I510" t="s">
        <v>472</v>
      </c>
      <c r="J510" t="str">
        <f t="shared" si="14"/>
        <v>Quarterfinal</v>
      </c>
      <c r="K510">
        <f t="shared" si="15"/>
        <v>0</v>
      </c>
    </row>
    <row r="511" spans="1:11">
      <c r="A511" t="s">
        <v>104</v>
      </c>
      <c r="B511" t="s">
        <v>105</v>
      </c>
      <c r="C511" t="s">
        <v>12</v>
      </c>
      <c r="D511" t="s">
        <v>17</v>
      </c>
      <c r="E511">
        <v>0.25</v>
      </c>
      <c r="F511">
        <v>24</v>
      </c>
      <c r="G511">
        <v>3</v>
      </c>
      <c r="H511">
        <v>2019</v>
      </c>
      <c r="I511" t="s">
        <v>472</v>
      </c>
      <c r="J511" t="str">
        <f t="shared" si="14"/>
        <v>Quarterfinal</v>
      </c>
      <c r="K511">
        <f t="shared" si="15"/>
        <v>0</v>
      </c>
    </row>
    <row r="512" spans="1:11">
      <c r="A512" t="s">
        <v>48</v>
      </c>
      <c r="B512" t="s">
        <v>49</v>
      </c>
      <c r="C512" t="s">
        <v>50</v>
      </c>
      <c r="D512" t="s">
        <v>13</v>
      </c>
      <c r="E512">
        <v>0.25</v>
      </c>
      <c r="F512">
        <v>26</v>
      </c>
      <c r="G512">
        <v>1</v>
      </c>
      <c r="H512">
        <v>2019</v>
      </c>
      <c r="I512" t="s">
        <v>473</v>
      </c>
      <c r="J512" t="str">
        <f t="shared" si="14"/>
        <v>Quarterfinal</v>
      </c>
      <c r="K512">
        <f t="shared" si="15"/>
        <v>1</v>
      </c>
    </row>
    <row r="513" spans="1:11">
      <c r="A513" t="s">
        <v>387</v>
      </c>
      <c r="B513" t="s">
        <v>388</v>
      </c>
      <c r="C513" t="s">
        <v>50</v>
      </c>
      <c r="D513" t="s">
        <v>17</v>
      </c>
      <c r="E513">
        <v>0.25</v>
      </c>
      <c r="F513">
        <v>17</v>
      </c>
      <c r="G513">
        <v>2</v>
      </c>
      <c r="H513">
        <v>2019</v>
      </c>
      <c r="I513" t="s">
        <v>473</v>
      </c>
      <c r="J513" t="str">
        <f t="shared" si="14"/>
        <v>Quarterfinal</v>
      </c>
      <c r="K513">
        <f t="shared" si="15"/>
        <v>0</v>
      </c>
    </row>
    <row r="514" spans="1:11">
      <c r="A514" t="s">
        <v>412</v>
      </c>
      <c r="B514" t="s">
        <v>413</v>
      </c>
      <c r="C514" t="s">
        <v>20</v>
      </c>
      <c r="D514" t="s">
        <v>17</v>
      </c>
      <c r="E514">
        <v>0.25</v>
      </c>
      <c r="F514">
        <v>14</v>
      </c>
      <c r="G514">
        <v>3</v>
      </c>
      <c r="H514">
        <v>2019</v>
      </c>
      <c r="I514" t="s">
        <v>473</v>
      </c>
      <c r="J514" t="str">
        <f t="shared" si="14"/>
        <v>Quarterfinal</v>
      </c>
      <c r="K514">
        <f t="shared" si="15"/>
        <v>0</v>
      </c>
    </row>
    <row r="515" spans="1:11">
      <c r="A515" t="s">
        <v>18</v>
      </c>
      <c r="B515" t="s">
        <v>19</v>
      </c>
      <c r="C515" t="s">
        <v>20</v>
      </c>
      <c r="D515" t="s">
        <v>13</v>
      </c>
      <c r="E515">
        <v>0.25</v>
      </c>
      <c r="F515">
        <v>64</v>
      </c>
      <c r="G515">
        <v>1</v>
      </c>
      <c r="H515">
        <v>2019</v>
      </c>
      <c r="I515" t="s">
        <v>474</v>
      </c>
      <c r="J515" t="str">
        <f t="shared" ref="J515:J578" si="16">IF(E515=1,"Final",IF(E515=0.5,"Semifinal",IF(E515=0.25,"Quarterfinal",IF(E515=0.125,"Preliminary","Unknown"))))</f>
        <v>Quarterfinal</v>
      </c>
      <c r="K515">
        <f t="shared" ref="K515:K578" si="17">IF(G515=1,1,0)</f>
        <v>1</v>
      </c>
    </row>
    <row r="516" spans="1:11">
      <c r="A516" t="s">
        <v>165</v>
      </c>
      <c r="B516" t="s">
        <v>166</v>
      </c>
      <c r="C516" t="s">
        <v>24</v>
      </c>
      <c r="D516" t="s">
        <v>17</v>
      </c>
      <c r="E516">
        <v>0.25</v>
      </c>
      <c r="F516">
        <v>45</v>
      </c>
      <c r="G516">
        <v>2</v>
      </c>
      <c r="H516">
        <v>2019</v>
      </c>
      <c r="I516" t="s">
        <v>474</v>
      </c>
      <c r="J516" t="str">
        <f t="shared" si="16"/>
        <v>Quarterfinal</v>
      </c>
      <c r="K516">
        <f t="shared" si="17"/>
        <v>0</v>
      </c>
    </row>
    <row r="517" spans="1:11">
      <c r="A517" t="s">
        <v>433</v>
      </c>
      <c r="B517" t="s">
        <v>434</v>
      </c>
      <c r="C517" t="s">
        <v>118</v>
      </c>
      <c r="D517" t="s">
        <v>17</v>
      </c>
      <c r="E517">
        <v>0.25</v>
      </c>
      <c r="F517">
        <v>21</v>
      </c>
      <c r="G517">
        <v>3</v>
      </c>
      <c r="H517">
        <v>2019</v>
      </c>
      <c r="I517" t="s">
        <v>474</v>
      </c>
      <c r="J517" t="str">
        <f t="shared" si="16"/>
        <v>Quarterfinal</v>
      </c>
      <c r="K517">
        <f t="shared" si="17"/>
        <v>0</v>
      </c>
    </row>
    <row r="518" spans="1:11">
      <c r="A518" t="s">
        <v>436</v>
      </c>
      <c r="B518" t="s">
        <v>437</v>
      </c>
      <c r="C518" t="s">
        <v>20</v>
      </c>
      <c r="D518" t="s">
        <v>17</v>
      </c>
      <c r="E518">
        <v>0.25</v>
      </c>
      <c r="F518">
        <v>50</v>
      </c>
      <c r="G518">
        <v>1</v>
      </c>
      <c r="H518">
        <v>2019</v>
      </c>
      <c r="I518" t="s">
        <v>475</v>
      </c>
      <c r="J518" t="str">
        <f t="shared" si="16"/>
        <v>Quarterfinal</v>
      </c>
      <c r="K518">
        <f t="shared" si="17"/>
        <v>1</v>
      </c>
    </row>
    <row r="519" spans="1:11">
      <c r="A519" t="s">
        <v>204</v>
      </c>
      <c r="B519" t="s">
        <v>205</v>
      </c>
      <c r="C519" t="s">
        <v>12</v>
      </c>
      <c r="D519" t="s">
        <v>17</v>
      </c>
      <c r="E519">
        <v>0.25</v>
      </c>
      <c r="F519">
        <v>39</v>
      </c>
      <c r="G519">
        <v>2</v>
      </c>
      <c r="H519">
        <v>2019</v>
      </c>
      <c r="I519" t="s">
        <v>475</v>
      </c>
      <c r="J519" t="str">
        <f t="shared" si="16"/>
        <v>Quarterfinal</v>
      </c>
      <c r="K519">
        <f t="shared" si="17"/>
        <v>0</v>
      </c>
    </row>
    <row r="520" spans="1:11">
      <c r="A520" t="s">
        <v>46</v>
      </c>
      <c r="B520" t="s">
        <v>47</v>
      </c>
      <c r="C520" t="s">
        <v>12</v>
      </c>
      <c r="D520" t="s">
        <v>13</v>
      </c>
      <c r="E520">
        <v>0.25</v>
      </c>
      <c r="F520">
        <v>29</v>
      </c>
      <c r="G520">
        <v>3</v>
      </c>
      <c r="H520">
        <v>2019</v>
      </c>
      <c r="I520" t="s">
        <v>475</v>
      </c>
      <c r="J520" t="str">
        <f t="shared" si="16"/>
        <v>Quarterfinal</v>
      </c>
      <c r="K520">
        <f t="shared" si="17"/>
        <v>0</v>
      </c>
    </row>
    <row r="521" spans="1:11">
      <c r="A521" t="s">
        <v>81</v>
      </c>
      <c r="B521" t="s">
        <v>82</v>
      </c>
      <c r="C521" t="s">
        <v>24</v>
      </c>
      <c r="D521" t="s">
        <v>13</v>
      </c>
      <c r="E521">
        <v>0.125</v>
      </c>
      <c r="F521">
        <v>58</v>
      </c>
      <c r="G521">
        <v>1</v>
      </c>
      <c r="H521">
        <v>2019</v>
      </c>
      <c r="I521" t="s">
        <v>476</v>
      </c>
      <c r="J521" t="str">
        <f t="shared" si="16"/>
        <v>Preliminary</v>
      </c>
      <c r="K521">
        <f t="shared" si="17"/>
        <v>1</v>
      </c>
    </row>
    <row r="522" spans="1:11">
      <c r="A522" t="s">
        <v>22</v>
      </c>
      <c r="B522" t="s">
        <v>23</v>
      </c>
      <c r="C522" t="s">
        <v>24</v>
      </c>
      <c r="D522" t="s">
        <v>13</v>
      </c>
      <c r="E522">
        <v>0.125</v>
      </c>
      <c r="F522">
        <v>38</v>
      </c>
      <c r="G522">
        <v>2</v>
      </c>
      <c r="H522">
        <v>2019</v>
      </c>
      <c r="I522" t="s">
        <v>476</v>
      </c>
      <c r="J522" t="str">
        <f t="shared" si="16"/>
        <v>Preliminary</v>
      </c>
      <c r="K522">
        <f t="shared" si="17"/>
        <v>0</v>
      </c>
    </row>
    <row r="523" spans="1:11">
      <c r="A523" t="s">
        <v>152</v>
      </c>
      <c r="B523" t="s">
        <v>153</v>
      </c>
      <c r="C523" t="s">
        <v>24</v>
      </c>
      <c r="D523" t="s">
        <v>17</v>
      </c>
      <c r="E523">
        <v>0.125</v>
      </c>
      <c r="F523">
        <v>10</v>
      </c>
      <c r="G523">
        <v>3</v>
      </c>
      <c r="H523">
        <v>2019</v>
      </c>
      <c r="I523" t="s">
        <v>476</v>
      </c>
      <c r="J523" t="str">
        <f t="shared" si="16"/>
        <v>Preliminary</v>
      </c>
      <c r="K523">
        <f t="shared" si="17"/>
        <v>0</v>
      </c>
    </row>
    <row r="524" spans="1:11">
      <c r="A524" t="s">
        <v>78</v>
      </c>
      <c r="B524" t="s">
        <v>79</v>
      </c>
      <c r="C524" t="s">
        <v>80</v>
      </c>
      <c r="D524" t="s">
        <v>17</v>
      </c>
      <c r="E524">
        <v>0.125</v>
      </c>
      <c r="F524">
        <v>30</v>
      </c>
      <c r="G524">
        <v>1</v>
      </c>
      <c r="H524">
        <v>2019</v>
      </c>
      <c r="I524" t="s">
        <v>477</v>
      </c>
      <c r="J524" t="str">
        <f t="shared" si="16"/>
        <v>Preliminary</v>
      </c>
      <c r="K524">
        <f t="shared" si="17"/>
        <v>1</v>
      </c>
    </row>
    <row r="525" spans="1:11">
      <c r="A525" t="s">
        <v>478</v>
      </c>
      <c r="B525" t="s">
        <v>479</v>
      </c>
      <c r="C525" t="s">
        <v>480</v>
      </c>
      <c r="D525" t="s">
        <v>17</v>
      </c>
      <c r="E525">
        <v>0.125</v>
      </c>
      <c r="F525">
        <v>25</v>
      </c>
      <c r="G525">
        <v>2</v>
      </c>
      <c r="H525">
        <v>2019</v>
      </c>
      <c r="I525" t="s">
        <v>477</v>
      </c>
      <c r="J525" t="str">
        <f t="shared" si="16"/>
        <v>Preliminary</v>
      </c>
      <c r="K525">
        <f t="shared" si="17"/>
        <v>0</v>
      </c>
    </row>
    <row r="526" spans="1:11">
      <c r="A526" t="s">
        <v>481</v>
      </c>
      <c r="B526" t="s">
        <v>482</v>
      </c>
      <c r="C526" t="s">
        <v>12</v>
      </c>
      <c r="D526" t="s">
        <v>17</v>
      </c>
      <c r="E526">
        <v>0.125</v>
      </c>
      <c r="F526">
        <v>25</v>
      </c>
      <c r="G526">
        <v>3</v>
      </c>
      <c r="H526">
        <v>2019</v>
      </c>
      <c r="I526" t="s">
        <v>477</v>
      </c>
      <c r="J526" t="str">
        <f t="shared" si="16"/>
        <v>Preliminary</v>
      </c>
      <c r="K526">
        <f t="shared" si="17"/>
        <v>0</v>
      </c>
    </row>
    <row r="527" spans="1:11">
      <c r="A527" t="s">
        <v>384</v>
      </c>
      <c r="B527" t="s">
        <v>385</v>
      </c>
      <c r="C527" t="s">
        <v>24</v>
      </c>
      <c r="D527" t="s">
        <v>17</v>
      </c>
      <c r="E527">
        <v>0.125</v>
      </c>
      <c r="F527">
        <v>41</v>
      </c>
      <c r="G527">
        <v>1</v>
      </c>
      <c r="H527">
        <v>2019</v>
      </c>
      <c r="I527" t="s">
        <v>483</v>
      </c>
      <c r="J527" t="str">
        <f t="shared" si="16"/>
        <v>Preliminary</v>
      </c>
      <c r="K527">
        <f t="shared" si="17"/>
        <v>1</v>
      </c>
    </row>
    <row r="528" spans="1:11">
      <c r="A528" t="s">
        <v>181</v>
      </c>
      <c r="B528" t="s">
        <v>182</v>
      </c>
      <c r="C528" t="s">
        <v>20</v>
      </c>
      <c r="D528" t="s">
        <v>17</v>
      </c>
      <c r="E528">
        <v>0.125</v>
      </c>
      <c r="F528">
        <v>19</v>
      </c>
      <c r="G528">
        <v>2</v>
      </c>
      <c r="H528">
        <v>2019</v>
      </c>
      <c r="I528" t="s">
        <v>483</v>
      </c>
      <c r="J528" t="str">
        <f t="shared" si="16"/>
        <v>Preliminary</v>
      </c>
      <c r="K528">
        <f t="shared" si="17"/>
        <v>0</v>
      </c>
    </row>
    <row r="529" spans="1:11">
      <c r="A529" t="s">
        <v>351</v>
      </c>
      <c r="B529" t="s">
        <v>351</v>
      </c>
      <c r="C529" t="s">
        <v>80</v>
      </c>
      <c r="D529" t="s">
        <v>17</v>
      </c>
      <c r="E529">
        <v>0.125</v>
      </c>
      <c r="F529">
        <v>15</v>
      </c>
      <c r="G529">
        <v>3</v>
      </c>
      <c r="H529">
        <v>2019</v>
      </c>
      <c r="I529" t="s">
        <v>483</v>
      </c>
      <c r="J529" t="str">
        <f t="shared" si="16"/>
        <v>Preliminary</v>
      </c>
      <c r="K529">
        <f t="shared" si="17"/>
        <v>0</v>
      </c>
    </row>
    <row r="530" spans="1:11">
      <c r="A530" t="s">
        <v>29</v>
      </c>
      <c r="B530" t="s">
        <v>30</v>
      </c>
      <c r="C530" t="s">
        <v>24</v>
      </c>
      <c r="D530" t="s">
        <v>31</v>
      </c>
      <c r="E530">
        <v>0.125</v>
      </c>
      <c r="F530">
        <v>55</v>
      </c>
      <c r="G530">
        <v>1</v>
      </c>
      <c r="H530">
        <v>2019</v>
      </c>
      <c r="I530" t="s">
        <v>484</v>
      </c>
      <c r="J530" t="str">
        <f t="shared" si="16"/>
        <v>Preliminary</v>
      </c>
      <c r="K530">
        <f t="shared" si="17"/>
        <v>1</v>
      </c>
    </row>
    <row r="531" spans="1:11">
      <c r="A531" t="s">
        <v>485</v>
      </c>
      <c r="B531" t="s">
        <v>486</v>
      </c>
      <c r="C531" t="s">
        <v>39</v>
      </c>
      <c r="D531" t="s">
        <v>17</v>
      </c>
      <c r="E531">
        <v>0.125</v>
      </c>
      <c r="F531">
        <v>24</v>
      </c>
      <c r="G531">
        <v>2</v>
      </c>
      <c r="H531">
        <v>2019</v>
      </c>
      <c r="I531" t="s">
        <v>484</v>
      </c>
      <c r="J531" t="str">
        <f t="shared" si="16"/>
        <v>Preliminary</v>
      </c>
      <c r="K531">
        <f t="shared" si="17"/>
        <v>0</v>
      </c>
    </row>
    <row r="532" spans="1:11">
      <c r="A532" t="s">
        <v>487</v>
      </c>
      <c r="B532" t="s">
        <v>488</v>
      </c>
      <c r="C532" t="s">
        <v>24</v>
      </c>
      <c r="D532" t="s">
        <v>17</v>
      </c>
      <c r="E532">
        <v>0.125</v>
      </c>
      <c r="F532">
        <v>14</v>
      </c>
      <c r="G532">
        <v>3</v>
      </c>
      <c r="H532">
        <v>2019</v>
      </c>
      <c r="I532" t="s">
        <v>484</v>
      </c>
      <c r="J532" t="str">
        <f t="shared" si="16"/>
        <v>Preliminary</v>
      </c>
      <c r="K532">
        <f t="shared" si="17"/>
        <v>0</v>
      </c>
    </row>
    <row r="533" spans="1:11">
      <c r="A533" t="s">
        <v>15</v>
      </c>
      <c r="B533" t="s">
        <v>16</v>
      </c>
      <c r="C533" t="s">
        <v>12</v>
      </c>
      <c r="D533" t="s">
        <v>17</v>
      </c>
      <c r="E533">
        <v>0.125</v>
      </c>
      <c r="F533">
        <v>31</v>
      </c>
      <c r="G533">
        <v>1</v>
      </c>
      <c r="H533">
        <v>2019</v>
      </c>
      <c r="I533" t="s">
        <v>489</v>
      </c>
      <c r="J533" t="str">
        <f t="shared" si="16"/>
        <v>Preliminary</v>
      </c>
      <c r="K533">
        <f t="shared" si="17"/>
        <v>1</v>
      </c>
    </row>
    <row r="534" spans="1:11">
      <c r="A534" t="s">
        <v>178</v>
      </c>
      <c r="B534" t="s">
        <v>179</v>
      </c>
      <c r="C534" t="s">
        <v>12</v>
      </c>
      <c r="D534" t="s">
        <v>13</v>
      </c>
      <c r="E534">
        <v>0.125</v>
      </c>
      <c r="F534">
        <v>28</v>
      </c>
      <c r="G534">
        <v>2</v>
      </c>
      <c r="H534">
        <v>2019</v>
      </c>
      <c r="I534" t="s">
        <v>489</v>
      </c>
      <c r="J534" t="str">
        <f t="shared" si="16"/>
        <v>Preliminary</v>
      </c>
      <c r="K534">
        <f t="shared" si="17"/>
        <v>0</v>
      </c>
    </row>
    <row r="535" spans="1:11">
      <c r="A535" t="s">
        <v>490</v>
      </c>
      <c r="B535" t="s">
        <v>324</v>
      </c>
      <c r="C535" t="s">
        <v>39</v>
      </c>
      <c r="D535" t="s">
        <v>17</v>
      </c>
      <c r="E535">
        <v>0.125</v>
      </c>
      <c r="F535">
        <v>24</v>
      </c>
      <c r="G535">
        <v>3</v>
      </c>
      <c r="H535">
        <v>2019</v>
      </c>
      <c r="I535" t="s">
        <v>489</v>
      </c>
      <c r="J535" t="str">
        <f t="shared" si="16"/>
        <v>Preliminary</v>
      </c>
      <c r="K535">
        <f t="shared" si="17"/>
        <v>0</v>
      </c>
    </row>
    <row r="536" spans="1:11">
      <c r="A536" t="s">
        <v>35</v>
      </c>
      <c r="B536" t="s">
        <v>36</v>
      </c>
      <c r="C536" t="s">
        <v>20</v>
      </c>
      <c r="D536" t="s">
        <v>13</v>
      </c>
      <c r="E536">
        <v>0.125</v>
      </c>
      <c r="F536">
        <v>25</v>
      </c>
      <c r="G536">
        <v>1</v>
      </c>
      <c r="H536">
        <v>2019</v>
      </c>
      <c r="I536" t="s">
        <v>491</v>
      </c>
      <c r="J536" t="str">
        <f t="shared" si="16"/>
        <v>Preliminary</v>
      </c>
      <c r="K536">
        <f t="shared" si="17"/>
        <v>1</v>
      </c>
    </row>
    <row r="537" spans="1:11">
      <c r="A537" t="s">
        <v>492</v>
      </c>
      <c r="B537" t="s">
        <v>493</v>
      </c>
      <c r="C537" t="s">
        <v>177</v>
      </c>
      <c r="D537" t="s">
        <v>17</v>
      </c>
      <c r="E537">
        <v>0.125</v>
      </c>
      <c r="F537">
        <v>17</v>
      </c>
      <c r="G537">
        <v>2</v>
      </c>
      <c r="H537">
        <v>2019</v>
      </c>
      <c r="I537" t="s">
        <v>491</v>
      </c>
      <c r="J537" t="str">
        <f t="shared" si="16"/>
        <v>Preliminary</v>
      </c>
      <c r="K537">
        <f t="shared" si="17"/>
        <v>0</v>
      </c>
    </row>
    <row r="538" spans="1:11">
      <c r="A538" t="s">
        <v>186</v>
      </c>
      <c r="B538" t="s">
        <v>187</v>
      </c>
      <c r="C538" t="s">
        <v>12</v>
      </c>
      <c r="D538" t="s">
        <v>17</v>
      </c>
      <c r="E538">
        <v>0.125</v>
      </c>
      <c r="F538">
        <v>17</v>
      </c>
      <c r="G538">
        <v>3</v>
      </c>
      <c r="H538">
        <v>2019</v>
      </c>
      <c r="I538" t="s">
        <v>491</v>
      </c>
      <c r="J538" t="str">
        <f t="shared" si="16"/>
        <v>Preliminary</v>
      </c>
      <c r="K538">
        <f t="shared" si="17"/>
        <v>0</v>
      </c>
    </row>
    <row r="539" spans="1:11">
      <c r="A539" t="s">
        <v>10</v>
      </c>
      <c r="B539" t="s">
        <v>11</v>
      </c>
      <c r="C539" t="s">
        <v>12</v>
      </c>
      <c r="D539" t="s">
        <v>13</v>
      </c>
      <c r="E539">
        <v>0.125</v>
      </c>
      <c r="F539">
        <v>47</v>
      </c>
      <c r="G539">
        <v>1</v>
      </c>
      <c r="H539">
        <v>2019</v>
      </c>
      <c r="I539" t="s">
        <v>494</v>
      </c>
      <c r="J539" t="str">
        <f t="shared" si="16"/>
        <v>Preliminary</v>
      </c>
      <c r="K539">
        <f t="shared" si="17"/>
        <v>1</v>
      </c>
    </row>
    <row r="540" spans="1:11">
      <c r="A540" t="s">
        <v>147</v>
      </c>
      <c r="B540" t="s">
        <v>148</v>
      </c>
      <c r="C540" t="s">
        <v>24</v>
      </c>
      <c r="D540" t="s">
        <v>17</v>
      </c>
      <c r="E540">
        <v>0.125</v>
      </c>
      <c r="F540">
        <v>31</v>
      </c>
      <c r="G540">
        <v>2</v>
      </c>
      <c r="H540">
        <v>2019</v>
      </c>
      <c r="I540" t="s">
        <v>494</v>
      </c>
      <c r="J540" t="str">
        <f t="shared" si="16"/>
        <v>Preliminary</v>
      </c>
      <c r="K540">
        <f t="shared" si="17"/>
        <v>0</v>
      </c>
    </row>
    <row r="541" spans="1:11">
      <c r="A541" t="s">
        <v>280</v>
      </c>
      <c r="B541" t="s">
        <v>281</v>
      </c>
      <c r="C541" t="s">
        <v>39</v>
      </c>
      <c r="D541" t="s">
        <v>17</v>
      </c>
      <c r="E541">
        <v>0.125</v>
      </c>
      <c r="F541">
        <v>25</v>
      </c>
      <c r="G541">
        <v>3</v>
      </c>
      <c r="H541">
        <v>2019</v>
      </c>
      <c r="I541" t="s">
        <v>494</v>
      </c>
      <c r="J541" t="str">
        <f t="shared" si="16"/>
        <v>Preliminary</v>
      </c>
      <c r="K541">
        <f t="shared" si="17"/>
        <v>0</v>
      </c>
    </row>
    <row r="542" spans="1:11">
      <c r="A542" t="s">
        <v>37</v>
      </c>
      <c r="B542" t="s">
        <v>38</v>
      </c>
      <c r="C542" t="s">
        <v>39</v>
      </c>
      <c r="D542" t="s">
        <v>13</v>
      </c>
      <c r="E542">
        <v>0.125</v>
      </c>
      <c r="F542">
        <v>36</v>
      </c>
      <c r="G542">
        <v>1</v>
      </c>
      <c r="H542">
        <v>2019</v>
      </c>
      <c r="I542" t="s">
        <v>495</v>
      </c>
      <c r="J542" t="str">
        <f t="shared" si="16"/>
        <v>Preliminary</v>
      </c>
      <c r="K542">
        <f t="shared" si="17"/>
        <v>1</v>
      </c>
    </row>
    <row r="543" spans="1:11">
      <c r="A543" t="s">
        <v>101</v>
      </c>
      <c r="B543" t="s">
        <v>102</v>
      </c>
      <c r="C543" t="s">
        <v>74</v>
      </c>
      <c r="D543" t="s">
        <v>31</v>
      </c>
      <c r="E543">
        <v>0.125</v>
      </c>
      <c r="F543">
        <v>23</v>
      </c>
      <c r="G543">
        <v>2</v>
      </c>
      <c r="H543">
        <v>2019</v>
      </c>
      <c r="I543" t="s">
        <v>495</v>
      </c>
      <c r="J543" t="str">
        <f t="shared" si="16"/>
        <v>Preliminary</v>
      </c>
      <c r="K543">
        <f t="shared" si="17"/>
        <v>0</v>
      </c>
    </row>
    <row r="544" spans="1:11">
      <c r="A544" t="s">
        <v>202</v>
      </c>
      <c r="B544" t="s">
        <v>203</v>
      </c>
      <c r="C544" t="s">
        <v>39</v>
      </c>
      <c r="D544" t="s">
        <v>13</v>
      </c>
      <c r="E544">
        <v>0.125</v>
      </c>
      <c r="F544">
        <v>18</v>
      </c>
      <c r="G544">
        <v>3</v>
      </c>
      <c r="H544">
        <v>2019</v>
      </c>
      <c r="I544" t="s">
        <v>495</v>
      </c>
      <c r="J544" t="str">
        <f t="shared" si="16"/>
        <v>Preliminary</v>
      </c>
      <c r="K544">
        <f t="shared" si="17"/>
        <v>0</v>
      </c>
    </row>
    <row r="545" spans="1:11">
      <c r="A545" t="s">
        <v>341</v>
      </c>
      <c r="B545" t="s">
        <v>342</v>
      </c>
      <c r="C545" t="s">
        <v>50</v>
      </c>
      <c r="D545" t="s">
        <v>13</v>
      </c>
      <c r="E545">
        <v>0.125</v>
      </c>
      <c r="F545">
        <v>38</v>
      </c>
      <c r="G545">
        <v>1</v>
      </c>
      <c r="H545">
        <v>2019</v>
      </c>
      <c r="I545" t="s">
        <v>496</v>
      </c>
      <c r="J545" t="str">
        <f t="shared" si="16"/>
        <v>Preliminary</v>
      </c>
      <c r="K545">
        <f t="shared" si="17"/>
        <v>1</v>
      </c>
    </row>
    <row r="546" spans="1:11">
      <c r="A546" t="s">
        <v>260</v>
      </c>
      <c r="B546" t="s">
        <v>261</v>
      </c>
      <c r="C546" t="s">
        <v>80</v>
      </c>
      <c r="D546" t="s">
        <v>17</v>
      </c>
      <c r="E546">
        <v>0.125</v>
      </c>
      <c r="F546">
        <v>34</v>
      </c>
      <c r="G546">
        <v>2</v>
      </c>
      <c r="H546">
        <v>2019</v>
      </c>
      <c r="I546" t="s">
        <v>496</v>
      </c>
      <c r="J546" t="str">
        <f t="shared" si="16"/>
        <v>Preliminary</v>
      </c>
      <c r="K546">
        <f t="shared" si="17"/>
        <v>0</v>
      </c>
    </row>
    <row r="547" spans="1:11">
      <c r="A547" t="s">
        <v>89</v>
      </c>
      <c r="B547" t="s">
        <v>90</v>
      </c>
      <c r="C547" t="s">
        <v>50</v>
      </c>
      <c r="D547" t="s">
        <v>31</v>
      </c>
      <c r="E547">
        <v>0.125</v>
      </c>
      <c r="F547">
        <v>22</v>
      </c>
      <c r="G547">
        <v>3</v>
      </c>
      <c r="H547">
        <v>2019</v>
      </c>
      <c r="I547" t="s">
        <v>496</v>
      </c>
      <c r="J547" t="str">
        <f t="shared" si="16"/>
        <v>Preliminary</v>
      </c>
      <c r="K547">
        <f t="shared" si="17"/>
        <v>0</v>
      </c>
    </row>
    <row r="548" spans="1:11">
      <c r="A548" t="s">
        <v>197</v>
      </c>
      <c r="B548" t="s">
        <v>198</v>
      </c>
      <c r="C548" t="s">
        <v>39</v>
      </c>
      <c r="D548" t="s">
        <v>13</v>
      </c>
      <c r="E548">
        <v>0.125</v>
      </c>
      <c r="F548">
        <v>55</v>
      </c>
      <c r="G548">
        <v>1</v>
      </c>
      <c r="H548">
        <v>2019</v>
      </c>
      <c r="I548" t="s">
        <v>497</v>
      </c>
      <c r="J548" t="str">
        <f t="shared" si="16"/>
        <v>Preliminary</v>
      </c>
      <c r="K548">
        <f t="shared" si="17"/>
        <v>1</v>
      </c>
    </row>
    <row r="549" spans="1:11">
      <c r="A549" t="s">
        <v>295</v>
      </c>
      <c r="B549" t="s">
        <v>296</v>
      </c>
      <c r="C549" t="s">
        <v>24</v>
      </c>
      <c r="D549" t="s">
        <v>17</v>
      </c>
      <c r="E549">
        <v>0.125</v>
      </c>
      <c r="F549">
        <v>40</v>
      </c>
      <c r="G549">
        <v>2</v>
      </c>
      <c r="H549">
        <v>2019</v>
      </c>
      <c r="I549" t="s">
        <v>497</v>
      </c>
      <c r="J549" t="str">
        <f t="shared" si="16"/>
        <v>Preliminary</v>
      </c>
      <c r="K549">
        <f t="shared" si="17"/>
        <v>0</v>
      </c>
    </row>
    <row r="550" spans="1:11">
      <c r="A550" t="s">
        <v>283</v>
      </c>
      <c r="B550" t="s">
        <v>284</v>
      </c>
      <c r="C550" t="s">
        <v>74</v>
      </c>
      <c r="D550" t="s">
        <v>17</v>
      </c>
      <c r="E550">
        <v>0.125</v>
      </c>
      <c r="F550">
        <v>24</v>
      </c>
      <c r="G550">
        <v>3</v>
      </c>
      <c r="H550">
        <v>2019</v>
      </c>
      <c r="I550" t="s">
        <v>497</v>
      </c>
      <c r="J550" t="str">
        <f t="shared" si="16"/>
        <v>Preliminary</v>
      </c>
      <c r="K550">
        <f t="shared" si="17"/>
        <v>0</v>
      </c>
    </row>
    <row r="551" spans="1:11">
      <c r="A551" t="s">
        <v>183</v>
      </c>
      <c r="B551" t="s">
        <v>184</v>
      </c>
      <c r="C551" t="s">
        <v>20</v>
      </c>
      <c r="D551" t="s">
        <v>17</v>
      </c>
      <c r="E551">
        <v>0.125</v>
      </c>
      <c r="F551">
        <v>62</v>
      </c>
      <c r="G551">
        <v>1</v>
      </c>
      <c r="H551">
        <v>2019</v>
      </c>
      <c r="I551" t="s">
        <v>498</v>
      </c>
      <c r="J551" t="str">
        <f t="shared" si="16"/>
        <v>Preliminary</v>
      </c>
      <c r="K551">
        <f t="shared" si="17"/>
        <v>1</v>
      </c>
    </row>
    <row r="552" spans="1:11">
      <c r="A552" t="s">
        <v>345</v>
      </c>
      <c r="B552" t="s">
        <v>346</v>
      </c>
      <c r="C552" t="s">
        <v>80</v>
      </c>
      <c r="D552" t="s">
        <v>17</v>
      </c>
      <c r="E552">
        <v>0.125</v>
      </c>
      <c r="F552">
        <v>32</v>
      </c>
      <c r="G552">
        <v>2</v>
      </c>
      <c r="H552">
        <v>2019</v>
      </c>
      <c r="I552" t="s">
        <v>498</v>
      </c>
      <c r="J552" t="str">
        <f t="shared" si="16"/>
        <v>Preliminary</v>
      </c>
      <c r="K552">
        <f t="shared" si="17"/>
        <v>0</v>
      </c>
    </row>
    <row r="553" spans="1:11">
      <c r="A553" t="s">
        <v>356</v>
      </c>
      <c r="B553" t="s">
        <v>357</v>
      </c>
      <c r="C553" t="s">
        <v>12</v>
      </c>
      <c r="D553" t="s">
        <v>17</v>
      </c>
      <c r="E553">
        <v>0.125</v>
      </c>
      <c r="F553">
        <v>32</v>
      </c>
      <c r="G553">
        <v>3</v>
      </c>
      <c r="H553">
        <v>2019</v>
      </c>
      <c r="I553" t="s">
        <v>498</v>
      </c>
      <c r="J553" t="str">
        <f t="shared" si="16"/>
        <v>Preliminary</v>
      </c>
      <c r="K553">
        <f t="shared" si="17"/>
        <v>0</v>
      </c>
    </row>
    <row r="554" spans="1:11">
      <c r="A554" t="s">
        <v>421</v>
      </c>
      <c r="B554" t="s">
        <v>422</v>
      </c>
      <c r="C554" t="s">
        <v>27</v>
      </c>
      <c r="D554" t="s">
        <v>17</v>
      </c>
      <c r="E554">
        <v>0.125</v>
      </c>
      <c r="F554">
        <v>45</v>
      </c>
      <c r="G554">
        <v>1</v>
      </c>
      <c r="H554">
        <v>2019</v>
      </c>
      <c r="I554" t="s">
        <v>499</v>
      </c>
      <c r="J554" t="str">
        <f t="shared" si="16"/>
        <v>Preliminary</v>
      </c>
      <c r="K554">
        <f t="shared" si="17"/>
        <v>1</v>
      </c>
    </row>
    <row r="555" spans="1:11">
      <c r="A555" t="s">
        <v>52</v>
      </c>
      <c r="B555" t="s">
        <v>53</v>
      </c>
      <c r="C555" t="s">
        <v>20</v>
      </c>
      <c r="D555" t="s">
        <v>13</v>
      </c>
      <c r="E555">
        <v>0.125</v>
      </c>
      <c r="F555">
        <v>31</v>
      </c>
      <c r="G555">
        <v>2</v>
      </c>
      <c r="H555">
        <v>2019</v>
      </c>
      <c r="I555" t="s">
        <v>499</v>
      </c>
      <c r="J555" t="str">
        <f t="shared" si="16"/>
        <v>Preliminary</v>
      </c>
      <c r="K555">
        <f t="shared" si="17"/>
        <v>0</v>
      </c>
    </row>
    <row r="556" spans="1:11">
      <c r="A556" t="s">
        <v>199</v>
      </c>
      <c r="B556" t="s">
        <v>200</v>
      </c>
      <c r="C556" t="s">
        <v>39</v>
      </c>
      <c r="D556" t="s">
        <v>31</v>
      </c>
      <c r="E556">
        <v>0.125</v>
      </c>
      <c r="F556">
        <v>15</v>
      </c>
      <c r="G556">
        <v>3</v>
      </c>
      <c r="H556">
        <v>2019</v>
      </c>
      <c r="I556" t="s">
        <v>499</v>
      </c>
      <c r="J556" t="str">
        <f t="shared" si="16"/>
        <v>Preliminary</v>
      </c>
      <c r="K556">
        <f t="shared" si="17"/>
        <v>0</v>
      </c>
    </row>
    <row r="557" spans="1:11">
      <c r="A557" t="s">
        <v>160</v>
      </c>
      <c r="B557" t="s">
        <v>161</v>
      </c>
      <c r="C557" t="s">
        <v>24</v>
      </c>
      <c r="D557" t="s">
        <v>13</v>
      </c>
      <c r="E557">
        <v>0.125</v>
      </c>
      <c r="F557">
        <v>46</v>
      </c>
      <c r="G557">
        <v>1</v>
      </c>
      <c r="H557">
        <v>2019</v>
      </c>
      <c r="I557" t="s">
        <v>500</v>
      </c>
      <c r="J557" t="str">
        <f t="shared" si="16"/>
        <v>Preliminary</v>
      </c>
      <c r="K557">
        <f t="shared" si="17"/>
        <v>1</v>
      </c>
    </row>
    <row r="558" spans="1:11">
      <c r="A558" t="s">
        <v>501</v>
      </c>
      <c r="B558" t="s">
        <v>502</v>
      </c>
      <c r="C558" t="s">
        <v>20</v>
      </c>
      <c r="D558" t="s">
        <v>17</v>
      </c>
      <c r="E558">
        <v>0.125</v>
      </c>
      <c r="F558">
        <v>33</v>
      </c>
      <c r="G558">
        <v>2</v>
      </c>
      <c r="H558">
        <v>2019</v>
      </c>
      <c r="I558" t="s">
        <v>500</v>
      </c>
      <c r="J558" t="str">
        <f t="shared" si="16"/>
        <v>Preliminary</v>
      </c>
      <c r="K558">
        <f t="shared" si="17"/>
        <v>0</v>
      </c>
    </row>
    <row r="559" spans="1:11">
      <c r="A559" t="s">
        <v>91</v>
      </c>
      <c r="B559" t="s">
        <v>92</v>
      </c>
      <c r="C559" t="s">
        <v>12</v>
      </c>
      <c r="D559" t="s">
        <v>17</v>
      </c>
      <c r="E559">
        <v>0.125</v>
      </c>
      <c r="F559">
        <v>28</v>
      </c>
      <c r="G559">
        <v>3</v>
      </c>
      <c r="H559">
        <v>2019</v>
      </c>
      <c r="I559" t="s">
        <v>500</v>
      </c>
      <c r="J559" t="str">
        <f t="shared" si="16"/>
        <v>Preliminary</v>
      </c>
      <c r="K559">
        <f t="shared" si="17"/>
        <v>0</v>
      </c>
    </row>
    <row r="560" spans="1:11">
      <c r="A560" t="s">
        <v>212</v>
      </c>
      <c r="B560" t="s">
        <v>213</v>
      </c>
      <c r="C560" t="s">
        <v>20</v>
      </c>
      <c r="D560" t="s">
        <v>17</v>
      </c>
      <c r="E560">
        <v>0.125</v>
      </c>
      <c r="F560">
        <v>44</v>
      </c>
      <c r="G560">
        <v>1</v>
      </c>
      <c r="H560">
        <v>2019</v>
      </c>
      <c r="I560" t="s">
        <v>503</v>
      </c>
      <c r="J560" t="str">
        <f t="shared" si="16"/>
        <v>Preliminary</v>
      </c>
      <c r="K560">
        <f t="shared" si="17"/>
        <v>1</v>
      </c>
    </row>
    <row r="561" spans="1:11">
      <c r="A561" t="s">
        <v>111</v>
      </c>
      <c r="B561" t="s">
        <v>112</v>
      </c>
      <c r="C561" t="s">
        <v>27</v>
      </c>
      <c r="D561" t="s">
        <v>17</v>
      </c>
      <c r="E561">
        <v>0.125</v>
      </c>
      <c r="F561">
        <v>28</v>
      </c>
      <c r="G561">
        <v>2</v>
      </c>
      <c r="H561">
        <v>2019</v>
      </c>
      <c r="I561" t="s">
        <v>503</v>
      </c>
      <c r="J561" t="str">
        <f t="shared" si="16"/>
        <v>Preliminary</v>
      </c>
      <c r="K561">
        <f t="shared" si="17"/>
        <v>0</v>
      </c>
    </row>
    <row r="562" spans="1:11">
      <c r="A562" t="s">
        <v>145</v>
      </c>
      <c r="B562" t="s">
        <v>146</v>
      </c>
      <c r="C562" t="s">
        <v>24</v>
      </c>
      <c r="D562" t="s">
        <v>31</v>
      </c>
      <c r="E562">
        <v>0.125</v>
      </c>
      <c r="F562">
        <v>24</v>
      </c>
      <c r="G562">
        <v>3</v>
      </c>
      <c r="H562">
        <v>2019</v>
      </c>
      <c r="I562" t="s">
        <v>503</v>
      </c>
      <c r="J562" t="str">
        <f t="shared" si="16"/>
        <v>Preliminary</v>
      </c>
      <c r="K562">
        <f t="shared" si="17"/>
        <v>0</v>
      </c>
    </row>
    <row r="563" spans="1:11">
      <c r="A563" t="s">
        <v>379</v>
      </c>
      <c r="B563" t="s">
        <v>380</v>
      </c>
      <c r="C563" t="s">
        <v>80</v>
      </c>
      <c r="D563" t="s">
        <v>17</v>
      </c>
      <c r="E563">
        <v>0.125</v>
      </c>
      <c r="F563">
        <v>37</v>
      </c>
      <c r="G563">
        <v>1</v>
      </c>
      <c r="H563">
        <v>2019</v>
      </c>
      <c r="I563" t="s">
        <v>504</v>
      </c>
      <c r="J563" t="str">
        <f t="shared" si="16"/>
        <v>Preliminary</v>
      </c>
      <c r="K563">
        <f t="shared" si="17"/>
        <v>1</v>
      </c>
    </row>
    <row r="564" spans="1:11">
      <c r="A564" t="s">
        <v>376</v>
      </c>
      <c r="B564" t="s">
        <v>377</v>
      </c>
      <c r="C564" t="s">
        <v>20</v>
      </c>
      <c r="D564" t="s">
        <v>17</v>
      </c>
      <c r="E564">
        <v>0.125</v>
      </c>
      <c r="F564">
        <v>28</v>
      </c>
      <c r="G564">
        <v>2</v>
      </c>
      <c r="H564">
        <v>2019</v>
      </c>
      <c r="I564" t="s">
        <v>504</v>
      </c>
      <c r="J564" t="str">
        <f t="shared" si="16"/>
        <v>Preliminary</v>
      </c>
      <c r="K564">
        <f t="shared" si="17"/>
        <v>0</v>
      </c>
    </row>
    <row r="565" spans="1:11">
      <c r="A565" t="s">
        <v>505</v>
      </c>
      <c r="B565" t="s">
        <v>506</v>
      </c>
      <c r="C565" t="s">
        <v>39</v>
      </c>
      <c r="D565" t="s">
        <v>17</v>
      </c>
      <c r="E565">
        <v>0.125</v>
      </c>
      <c r="F565">
        <v>25</v>
      </c>
      <c r="G565">
        <v>3</v>
      </c>
      <c r="H565">
        <v>2019</v>
      </c>
      <c r="I565" t="s">
        <v>504</v>
      </c>
      <c r="J565" t="str">
        <f t="shared" si="16"/>
        <v>Preliminary</v>
      </c>
      <c r="K565">
        <f t="shared" si="17"/>
        <v>0</v>
      </c>
    </row>
    <row r="566" spans="1:11">
      <c r="A566" t="s">
        <v>25</v>
      </c>
      <c r="B566" t="s">
        <v>26</v>
      </c>
      <c r="C566" t="s">
        <v>27</v>
      </c>
      <c r="D566" t="s">
        <v>17</v>
      </c>
      <c r="E566">
        <v>0.125</v>
      </c>
      <c r="F566">
        <v>27</v>
      </c>
      <c r="G566">
        <v>1</v>
      </c>
      <c r="H566">
        <v>2019</v>
      </c>
      <c r="I566" t="s">
        <v>507</v>
      </c>
      <c r="J566" t="str">
        <f t="shared" si="16"/>
        <v>Preliminary</v>
      </c>
      <c r="K566">
        <f t="shared" si="17"/>
        <v>1</v>
      </c>
    </row>
    <row r="567" spans="1:11">
      <c r="A567" t="s">
        <v>314</v>
      </c>
      <c r="B567" t="s">
        <v>315</v>
      </c>
      <c r="C567" t="s">
        <v>20</v>
      </c>
      <c r="D567" t="s">
        <v>17</v>
      </c>
      <c r="E567">
        <v>0.125</v>
      </c>
      <c r="F567">
        <v>19</v>
      </c>
      <c r="G567">
        <v>2</v>
      </c>
      <c r="H567">
        <v>2019</v>
      </c>
      <c r="I567" t="s">
        <v>507</v>
      </c>
      <c r="J567" t="str">
        <f t="shared" si="16"/>
        <v>Preliminary</v>
      </c>
      <c r="K567">
        <f t="shared" si="17"/>
        <v>0</v>
      </c>
    </row>
    <row r="568" spans="1:11">
      <c r="A568" t="s">
        <v>508</v>
      </c>
      <c r="B568" t="s">
        <v>509</v>
      </c>
      <c r="C568" t="s">
        <v>24</v>
      </c>
      <c r="D568" t="s">
        <v>17</v>
      </c>
      <c r="E568">
        <v>0.125</v>
      </c>
      <c r="F568">
        <v>14</v>
      </c>
      <c r="G568">
        <v>3</v>
      </c>
      <c r="H568">
        <v>2019</v>
      </c>
      <c r="I568" t="s">
        <v>507</v>
      </c>
      <c r="J568" t="str">
        <f t="shared" si="16"/>
        <v>Preliminary</v>
      </c>
      <c r="K568">
        <f t="shared" si="17"/>
        <v>0</v>
      </c>
    </row>
    <row r="569" spans="1:11">
      <c r="A569" t="s">
        <v>461</v>
      </c>
      <c r="B569" t="s">
        <v>462</v>
      </c>
      <c r="C569" t="s">
        <v>39</v>
      </c>
      <c r="D569" t="s">
        <v>17</v>
      </c>
      <c r="E569">
        <v>0.125</v>
      </c>
      <c r="F569">
        <v>33</v>
      </c>
      <c r="G569">
        <v>1</v>
      </c>
      <c r="H569">
        <v>2019</v>
      </c>
      <c r="I569" t="s">
        <v>510</v>
      </c>
      <c r="J569" t="str">
        <f t="shared" si="16"/>
        <v>Preliminary</v>
      </c>
      <c r="K569">
        <f t="shared" si="17"/>
        <v>1</v>
      </c>
    </row>
    <row r="570" spans="1:11">
      <c r="A570" t="s">
        <v>57</v>
      </c>
      <c r="B570" t="s">
        <v>58</v>
      </c>
      <c r="C570" t="s">
        <v>20</v>
      </c>
      <c r="D570" t="s">
        <v>13</v>
      </c>
      <c r="E570">
        <v>0.125</v>
      </c>
      <c r="F570">
        <v>22</v>
      </c>
      <c r="G570">
        <v>2</v>
      </c>
      <c r="H570">
        <v>2019</v>
      </c>
      <c r="I570" t="s">
        <v>510</v>
      </c>
      <c r="J570" t="str">
        <f t="shared" si="16"/>
        <v>Preliminary</v>
      </c>
      <c r="K570">
        <f t="shared" si="17"/>
        <v>0</v>
      </c>
    </row>
    <row r="571" spans="1:11">
      <c r="A571" t="s">
        <v>511</v>
      </c>
      <c r="B571" t="s">
        <v>512</v>
      </c>
      <c r="C571" t="s">
        <v>195</v>
      </c>
      <c r="D571" t="s">
        <v>17</v>
      </c>
      <c r="E571">
        <v>0.125</v>
      </c>
      <c r="F571">
        <v>19</v>
      </c>
      <c r="G571">
        <v>3</v>
      </c>
      <c r="H571">
        <v>2019</v>
      </c>
      <c r="I571" t="s">
        <v>510</v>
      </c>
      <c r="J571" t="str">
        <f t="shared" si="16"/>
        <v>Preliminary</v>
      </c>
      <c r="K571">
        <f t="shared" si="17"/>
        <v>0</v>
      </c>
    </row>
    <row r="572" spans="1:11">
      <c r="A572" t="s">
        <v>104</v>
      </c>
      <c r="B572" t="s">
        <v>105</v>
      </c>
      <c r="C572" t="s">
        <v>12</v>
      </c>
      <c r="D572" t="s">
        <v>17</v>
      </c>
      <c r="E572">
        <v>0.125</v>
      </c>
      <c r="F572">
        <v>43</v>
      </c>
      <c r="G572">
        <v>1</v>
      </c>
      <c r="H572">
        <v>2019</v>
      </c>
      <c r="I572" t="s">
        <v>513</v>
      </c>
      <c r="J572" t="str">
        <f t="shared" si="16"/>
        <v>Preliminary</v>
      </c>
      <c r="K572">
        <f t="shared" si="17"/>
        <v>1</v>
      </c>
    </row>
    <row r="573" spans="1:11">
      <c r="A573" t="s">
        <v>32</v>
      </c>
      <c r="B573" t="s">
        <v>33</v>
      </c>
      <c r="C573" t="s">
        <v>20</v>
      </c>
      <c r="D573" t="s">
        <v>31</v>
      </c>
      <c r="E573">
        <v>0.125</v>
      </c>
      <c r="F573">
        <v>30</v>
      </c>
      <c r="G573">
        <v>2</v>
      </c>
      <c r="H573">
        <v>2019</v>
      </c>
      <c r="I573" t="s">
        <v>513</v>
      </c>
      <c r="J573" t="str">
        <f t="shared" si="16"/>
        <v>Preliminary</v>
      </c>
      <c r="K573">
        <f t="shared" si="17"/>
        <v>0</v>
      </c>
    </row>
    <row r="574" spans="1:11">
      <c r="A574" t="s">
        <v>373</v>
      </c>
      <c r="B574" t="s">
        <v>374</v>
      </c>
      <c r="C574" t="s">
        <v>39</v>
      </c>
      <c r="D574" t="s">
        <v>17</v>
      </c>
      <c r="E574">
        <v>0.125</v>
      </c>
      <c r="F574">
        <v>14</v>
      </c>
      <c r="G574">
        <v>3</v>
      </c>
      <c r="H574">
        <v>2019</v>
      </c>
      <c r="I574" t="s">
        <v>513</v>
      </c>
      <c r="J574" t="str">
        <f t="shared" si="16"/>
        <v>Preliminary</v>
      </c>
      <c r="K574">
        <f t="shared" si="17"/>
        <v>0</v>
      </c>
    </row>
    <row r="575" spans="1:11">
      <c r="A575" t="s">
        <v>48</v>
      </c>
      <c r="B575" t="s">
        <v>49</v>
      </c>
      <c r="C575" t="s">
        <v>50</v>
      </c>
      <c r="D575" t="s">
        <v>13</v>
      </c>
      <c r="E575">
        <v>0.125</v>
      </c>
      <c r="F575">
        <v>31</v>
      </c>
      <c r="G575">
        <v>1</v>
      </c>
      <c r="H575">
        <v>2019</v>
      </c>
      <c r="I575" t="s">
        <v>514</v>
      </c>
      <c r="J575" t="str">
        <f t="shared" si="16"/>
        <v>Preliminary</v>
      </c>
      <c r="K575">
        <f t="shared" si="17"/>
        <v>1</v>
      </c>
    </row>
    <row r="576" spans="1:11">
      <c r="A576" t="s">
        <v>41</v>
      </c>
      <c r="B576" t="s">
        <v>42</v>
      </c>
      <c r="C576" t="s">
        <v>27</v>
      </c>
      <c r="D576" t="s">
        <v>17</v>
      </c>
      <c r="E576">
        <v>0.125</v>
      </c>
      <c r="F576">
        <v>29</v>
      </c>
      <c r="G576">
        <v>2</v>
      </c>
      <c r="H576">
        <v>2019</v>
      </c>
      <c r="I576" t="s">
        <v>514</v>
      </c>
      <c r="J576" t="str">
        <f t="shared" si="16"/>
        <v>Preliminary</v>
      </c>
      <c r="K576">
        <f t="shared" si="17"/>
        <v>0</v>
      </c>
    </row>
    <row r="577" spans="1:11">
      <c r="A577" t="s">
        <v>137</v>
      </c>
      <c r="B577" t="s">
        <v>138</v>
      </c>
      <c r="C577" t="s">
        <v>27</v>
      </c>
      <c r="D577" t="s">
        <v>31</v>
      </c>
      <c r="E577">
        <v>0.125</v>
      </c>
      <c r="F577">
        <v>22</v>
      </c>
      <c r="G577">
        <v>3</v>
      </c>
      <c r="H577">
        <v>2019</v>
      </c>
      <c r="I577" t="s">
        <v>514</v>
      </c>
      <c r="J577" t="str">
        <f t="shared" si="16"/>
        <v>Preliminary</v>
      </c>
      <c r="K577">
        <f t="shared" si="17"/>
        <v>0</v>
      </c>
    </row>
    <row r="578" spans="1:11">
      <c r="A578" t="s">
        <v>387</v>
      </c>
      <c r="B578" t="s">
        <v>388</v>
      </c>
      <c r="C578" t="s">
        <v>50</v>
      </c>
      <c r="D578" t="s">
        <v>17</v>
      </c>
      <c r="E578">
        <v>0.125</v>
      </c>
      <c r="F578">
        <v>25</v>
      </c>
      <c r="G578">
        <v>1</v>
      </c>
      <c r="H578">
        <v>2019</v>
      </c>
      <c r="I578" t="s">
        <v>515</v>
      </c>
      <c r="J578" t="str">
        <f t="shared" si="16"/>
        <v>Preliminary</v>
      </c>
      <c r="K578">
        <f t="shared" si="17"/>
        <v>1</v>
      </c>
    </row>
    <row r="579" spans="1:11">
      <c r="A579" t="s">
        <v>257</v>
      </c>
      <c r="B579" t="s">
        <v>258</v>
      </c>
      <c r="C579" t="s">
        <v>12</v>
      </c>
      <c r="D579" t="s">
        <v>17</v>
      </c>
      <c r="E579">
        <v>0.125</v>
      </c>
      <c r="F579">
        <v>18</v>
      </c>
      <c r="G579">
        <v>2</v>
      </c>
      <c r="H579">
        <v>2019</v>
      </c>
      <c r="I579" t="s">
        <v>515</v>
      </c>
      <c r="J579" t="str">
        <f t="shared" ref="J579:J642" si="18">IF(E579=1,"Final",IF(E579=0.5,"Semifinal",IF(E579=0.25,"Quarterfinal",IF(E579=0.125,"Preliminary","Unknown"))))</f>
        <v>Preliminary</v>
      </c>
      <c r="K579">
        <f t="shared" ref="K579:K642" si="19">IF(G579=1,1,0)</f>
        <v>0</v>
      </c>
    </row>
    <row r="580" spans="1:11">
      <c r="A580" t="s">
        <v>334</v>
      </c>
      <c r="B580" t="s">
        <v>335</v>
      </c>
      <c r="C580" t="s">
        <v>27</v>
      </c>
      <c r="D580" t="s">
        <v>17</v>
      </c>
      <c r="E580">
        <v>0.125</v>
      </c>
      <c r="F580">
        <v>16</v>
      </c>
      <c r="G580">
        <v>3</v>
      </c>
      <c r="H580">
        <v>2019</v>
      </c>
      <c r="I580" t="s">
        <v>515</v>
      </c>
      <c r="J580" t="str">
        <f t="shared" si="18"/>
        <v>Preliminary</v>
      </c>
      <c r="K580">
        <f t="shared" si="19"/>
        <v>0</v>
      </c>
    </row>
    <row r="581" spans="1:11">
      <c r="A581" t="s">
        <v>412</v>
      </c>
      <c r="B581" t="s">
        <v>413</v>
      </c>
      <c r="C581" t="s">
        <v>20</v>
      </c>
      <c r="D581" t="s">
        <v>17</v>
      </c>
      <c r="E581">
        <v>0.125</v>
      </c>
      <c r="F581">
        <v>44</v>
      </c>
      <c r="G581">
        <v>1</v>
      </c>
      <c r="H581">
        <v>2019</v>
      </c>
      <c r="I581" t="s">
        <v>516</v>
      </c>
      <c r="J581" t="str">
        <f t="shared" si="18"/>
        <v>Preliminary</v>
      </c>
      <c r="K581">
        <f t="shared" si="19"/>
        <v>1</v>
      </c>
    </row>
    <row r="582" spans="1:11">
      <c r="A582" t="s">
        <v>116</v>
      </c>
      <c r="B582" t="s">
        <v>117</v>
      </c>
      <c r="C582" t="s">
        <v>118</v>
      </c>
      <c r="D582" t="s">
        <v>13</v>
      </c>
      <c r="E582">
        <v>0.125</v>
      </c>
      <c r="F582">
        <v>18</v>
      </c>
      <c r="G582">
        <v>2</v>
      </c>
      <c r="H582">
        <v>2019</v>
      </c>
      <c r="I582" t="s">
        <v>516</v>
      </c>
      <c r="J582" t="str">
        <f t="shared" si="18"/>
        <v>Preliminary</v>
      </c>
      <c r="K582">
        <f t="shared" si="19"/>
        <v>0</v>
      </c>
    </row>
    <row r="583" spans="1:11">
      <c r="A583" t="s">
        <v>132</v>
      </c>
      <c r="B583" t="s">
        <v>133</v>
      </c>
      <c r="C583" t="s">
        <v>39</v>
      </c>
      <c r="D583" t="s">
        <v>31</v>
      </c>
      <c r="E583">
        <v>0.125</v>
      </c>
      <c r="F583">
        <v>16</v>
      </c>
      <c r="G583">
        <v>3</v>
      </c>
      <c r="H583">
        <v>2019</v>
      </c>
      <c r="I583" t="s">
        <v>516</v>
      </c>
      <c r="J583" t="str">
        <f t="shared" si="18"/>
        <v>Preliminary</v>
      </c>
      <c r="K583">
        <f t="shared" si="19"/>
        <v>0</v>
      </c>
    </row>
    <row r="584" spans="1:11">
      <c r="A584" t="s">
        <v>18</v>
      </c>
      <c r="B584" t="s">
        <v>19</v>
      </c>
      <c r="C584" t="s">
        <v>20</v>
      </c>
      <c r="D584" t="s">
        <v>13</v>
      </c>
      <c r="E584">
        <v>0.125</v>
      </c>
      <c r="F584">
        <v>52</v>
      </c>
      <c r="G584">
        <v>1</v>
      </c>
      <c r="H584">
        <v>2019</v>
      </c>
      <c r="I584" t="s">
        <v>517</v>
      </c>
      <c r="J584" t="str">
        <f t="shared" si="18"/>
        <v>Preliminary</v>
      </c>
      <c r="K584">
        <f t="shared" si="19"/>
        <v>1</v>
      </c>
    </row>
    <row r="585" spans="1:11">
      <c r="A585" t="s">
        <v>62</v>
      </c>
      <c r="B585" t="s">
        <v>63</v>
      </c>
      <c r="C585" t="s">
        <v>20</v>
      </c>
      <c r="D585" t="s">
        <v>17</v>
      </c>
      <c r="E585">
        <v>0.125</v>
      </c>
      <c r="F585">
        <v>51</v>
      </c>
      <c r="G585">
        <v>2</v>
      </c>
      <c r="H585">
        <v>2019</v>
      </c>
      <c r="I585" t="s">
        <v>517</v>
      </c>
      <c r="J585" t="str">
        <f t="shared" si="18"/>
        <v>Preliminary</v>
      </c>
      <c r="K585">
        <f t="shared" si="19"/>
        <v>0</v>
      </c>
    </row>
    <row r="586" spans="1:11">
      <c r="A586" t="s">
        <v>54</v>
      </c>
      <c r="B586" t="s">
        <v>55</v>
      </c>
      <c r="C586" t="s">
        <v>20</v>
      </c>
      <c r="D586" t="s">
        <v>17</v>
      </c>
      <c r="E586">
        <v>0.125</v>
      </c>
      <c r="F586">
        <v>37</v>
      </c>
      <c r="G586">
        <v>3</v>
      </c>
      <c r="H586">
        <v>2019</v>
      </c>
      <c r="I586" t="s">
        <v>517</v>
      </c>
      <c r="J586" t="str">
        <f t="shared" si="18"/>
        <v>Preliminary</v>
      </c>
      <c r="K586">
        <f t="shared" si="19"/>
        <v>0</v>
      </c>
    </row>
    <row r="587" spans="1:11">
      <c r="A587" t="s">
        <v>165</v>
      </c>
      <c r="B587" t="s">
        <v>166</v>
      </c>
      <c r="C587" t="s">
        <v>24</v>
      </c>
      <c r="D587" t="s">
        <v>17</v>
      </c>
      <c r="E587">
        <v>0.125</v>
      </c>
      <c r="F587">
        <v>37</v>
      </c>
      <c r="G587">
        <v>1</v>
      </c>
      <c r="H587">
        <v>2019</v>
      </c>
      <c r="I587" t="s">
        <v>518</v>
      </c>
      <c r="J587" t="str">
        <f t="shared" si="18"/>
        <v>Preliminary</v>
      </c>
      <c r="K587">
        <f t="shared" si="19"/>
        <v>1</v>
      </c>
    </row>
    <row r="588" spans="1:11">
      <c r="A588" t="s">
        <v>519</v>
      </c>
      <c r="B588" t="s">
        <v>520</v>
      </c>
      <c r="C588" t="s">
        <v>39</v>
      </c>
      <c r="D588" t="s">
        <v>17</v>
      </c>
      <c r="E588">
        <v>0.125</v>
      </c>
      <c r="F588">
        <v>33</v>
      </c>
      <c r="G588">
        <v>2</v>
      </c>
      <c r="H588">
        <v>2019</v>
      </c>
      <c r="I588" t="s">
        <v>518</v>
      </c>
      <c r="J588" t="str">
        <f t="shared" si="18"/>
        <v>Preliminary</v>
      </c>
      <c r="K588">
        <f t="shared" si="19"/>
        <v>0</v>
      </c>
    </row>
    <row r="589" spans="1:11">
      <c r="A589" t="s">
        <v>521</v>
      </c>
      <c r="B589" t="s">
        <v>522</v>
      </c>
      <c r="C589" t="s">
        <v>195</v>
      </c>
      <c r="D589" t="s">
        <v>31</v>
      </c>
      <c r="E589">
        <v>0.125</v>
      </c>
      <c r="F589">
        <v>19</v>
      </c>
      <c r="G589">
        <v>3</v>
      </c>
      <c r="H589">
        <v>2019</v>
      </c>
      <c r="I589" t="s">
        <v>518</v>
      </c>
      <c r="J589" t="str">
        <f t="shared" si="18"/>
        <v>Preliminary</v>
      </c>
      <c r="K589">
        <f t="shared" si="19"/>
        <v>0</v>
      </c>
    </row>
    <row r="590" spans="1:11">
      <c r="A590" t="s">
        <v>433</v>
      </c>
      <c r="B590" t="s">
        <v>434</v>
      </c>
      <c r="C590" t="s">
        <v>118</v>
      </c>
      <c r="D590" t="s">
        <v>17</v>
      </c>
      <c r="E590">
        <v>0.125</v>
      </c>
      <c r="F590">
        <v>26</v>
      </c>
      <c r="G590">
        <v>1</v>
      </c>
      <c r="H590">
        <v>2019</v>
      </c>
      <c r="I590" t="s">
        <v>523</v>
      </c>
      <c r="J590" t="str">
        <f t="shared" si="18"/>
        <v>Preliminary</v>
      </c>
      <c r="K590">
        <f t="shared" si="19"/>
        <v>1</v>
      </c>
    </row>
    <row r="591" spans="1:11">
      <c r="A591" t="s">
        <v>86</v>
      </c>
      <c r="B591" t="s">
        <v>87</v>
      </c>
      <c r="C591" t="s">
        <v>20</v>
      </c>
      <c r="D591" t="s">
        <v>17</v>
      </c>
      <c r="E591">
        <v>0.125</v>
      </c>
      <c r="F591">
        <v>22</v>
      </c>
      <c r="G591">
        <v>2</v>
      </c>
      <c r="H591">
        <v>2019</v>
      </c>
      <c r="I591" t="s">
        <v>523</v>
      </c>
      <c r="J591" t="str">
        <f t="shared" si="18"/>
        <v>Preliminary</v>
      </c>
      <c r="K591">
        <f t="shared" si="19"/>
        <v>0</v>
      </c>
    </row>
    <row r="592" spans="1:11">
      <c r="A592" t="s">
        <v>430</v>
      </c>
      <c r="B592" t="s">
        <v>431</v>
      </c>
      <c r="C592" t="s">
        <v>74</v>
      </c>
      <c r="D592" t="s">
        <v>17</v>
      </c>
      <c r="E592">
        <v>0.125</v>
      </c>
      <c r="F592">
        <v>15</v>
      </c>
      <c r="G592">
        <v>3</v>
      </c>
      <c r="H592">
        <v>2019</v>
      </c>
      <c r="I592" t="s">
        <v>523</v>
      </c>
      <c r="J592" t="str">
        <f t="shared" si="18"/>
        <v>Preliminary</v>
      </c>
      <c r="K592">
        <f t="shared" si="19"/>
        <v>0</v>
      </c>
    </row>
    <row r="593" spans="1:11">
      <c r="A593" t="s">
        <v>436</v>
      </c>
      <c r="B593" t="s">
        <v>437</v>
      </c>
      <c r="C593" t="s">
        <v>20</v>
      </c>
      <c r="D593" t="s">
        <v>17</v>
      </c>
      <c r="E593">
        <v>0.125</v>
      </c>
      <c r="F593">
        <v>40</v>
      </c>
      <c r="G593">
        <v>1</v>
      </c>
      <c r="H593">
        <v>2019</v>
      </c>
      <c r="I593" t="s">
        <v>524</v>
      </c>
      <c r="J593" t="str">
        <f t="shared" si="18"/>
        <v>Preliminary</v>
      </c>
      <c r="K593">
        <f t="shared" si="19"/>
        <v>1</v>
      </c>
    </row>
    <row r="594" spans="1:11">
      <c r="A594" t="s">
        <v>525</v>
      </c>
      <c r="B594" t="s">
        <v>526</v>
      </c>
      <c r="C594" t="s">
        <v>20</v>
      </c>
      <c r="D594" t="s">
        <v>17</v>
      </c>
      <c r="E594">
        <v>0.125</v>
      </c>
      <c r="F594">
        <v>22</v>
      </c>
      <c r="G594">
        <v>2</v>
      </c>
      <c r="H594">
        <v>2019</v>
      </c>
      <c r="I594" t="s">
        <v>524</v>
      </c>
      <c r="J594" t="str">
        <f t="shared" si="18"/>
        <v>Preliminary</v>
      </c>
      <c r="K594">
        <f t="shared" si="19"/>
        <v>0</v>
      </c>
    </row>
    <row r="595" spans="1:11">
      <c r="A595" t="s">
        <v>219</v>
      </c>
      <c r="B595" t="s">
        <v>220</v>
      </c>
      <c r="C595" t="s">
        <v>27</v>
      </c>
      <c r="D595" t="s">
        <v>17</v>
      </c>
      <c r="E595">
        <v>0.125</v>
      </c>
      <c r="F595">
        <v>19</v>
      </c>
      <c r="G595">
        <v>3</v>
      </c>
      <c r="H595">
        <v>2019</v>
      </c>
      <c r="I595" t="s">
        <v>524</v>
      </c>
      <c r="J595" t="str">
        <f t="shared" si="18"/>
        <v>Preliminary</v>
      </c>
      <c r="K595">
        <f t="shared" si="19"/>
        <v>0</v>
      </c>
    </row>
    <row r="596" spans="1:11">
      <c r="A596" t="s">
        <v>204</v>
      </c>
      <c r="B596" t="s">
        <v>205</v>
      </c>
      <c r="C596" t="s">
        <v>12</v>
      </c>
      <c r="D596" t="s">
        <v>17</v>
      </c>
      <c r="E596">
        <v>0.125</v>
      </c>
      <c r="F596">
        <v>35</v>
      </c>
      <c r="G596">
        <v>1</v>
      </c>
      <c r="H596">
        <v>2019</v>
      </c>
      <c r="I596" t="s">
        <v>527</v>
      </c>
      <c r="J596" t="str">
        <f t="shared" si="18"/>
        <v>Preliminary</v>
      </c>
      <c r="K596">
        <f t="shared" si="19"/>
        <v>1</v>
      </c>
    </row>
    <row r="597" spans="1:11">
      <c r="A597" t="s">
        <v>69</v>
      </c>
      <c r="B597" t="s">
        <v>70</v>
      </c>
      <c r="C597" t="s">
        <v>27</v>
      </c>
      <c r="D597" t="s">
        <v>13</v>
      </c>
      <c r="E597">
        <v>0.125</v>
      </c>
      <c r="F597">
        <v>29</v>
      </c>
      <c r="G597">
        <v>2</v>
      </c>
      <c r="H597">
        <v>2019</v>
      </c>
      <c r="I597" t="s">
        <v>527</v>
      </c>
      <c r="J597" t="str">
        <f t="shared" si="18"/>
        <v>Preliminary</v>
      </c>
      <c r="K597">
        <f t="shared" si="19"/>
        <v>0</v>
      </c>
    </row>
    <row r="598" spans="1:11">
      <c r="A598" t="s">
        <v>140</v>
      </c>
      <c r="B598" t="s">
        <v>141</v>
      </c>
      <c r="C598" t="s">
        <v>24</v>
      </c>
      <c r="D598" t="s">
        <v>17</v>
      </c>
      <c r="E598">
        <v>0.125</v>
      </c>
      <c r="F598">
        <v>21</v>
      </c>
      <c r="G598">
        <v>3</v>
      </c>
      <c r="H598">
        <v>2019</v>
      </c>
      <c r="I598" t="s">
        <v>527</v>
      </c>
      <c r="J598" t="str">
        <f t="shared" si="18"/>
        <v>Preliminary</v>
      </c>
      <c r="K598">
        <f t="shared" si="19"/>
        <v>0</v>
      </c>
    </row>
    <row r="599" spans="1:11">
      <c r="A599" t="s">
        <v>46</v>
      </c>
      <c r="B599" t="s">
        <v>47</v>
      </c>
      <c r="C599" t="s">
        <v>12</v>
      </c>
      <c r="D599" t="s">
        <v>13</v>
      </c>
      <c r="E599">
        <v>0.125</v>
      </c>
      <c r="F599">
        <v>34</v>
      </c>
      <c r="G599">
        <v>1</v>
      </c>
      <c r="H599">
        <v>2019</v>
      </c>
      <c r="I599" t="s">
        <v>528</v>
      </c>
      <c r="J599" t="str">
        <f t="shared" si="18"/>
        <v>Preliminary</v>
      </c>
      <c r="K599">
        <f t="shared" si="19"/>
        <v>1</v>
      </c>
    </row>
    <row r="600" spans="1:11">
      <c r="A600" t="s">
        <v>162</v>
      </c>
      <c r="B600" t="s">
        <v>163</v>
      </c>
      <c r="C600" t="s">
        <v>39</v>
      </c>
      <c r="D600" t="s">
        <v>17</v>
      </c>
      <c r="E600">
        <v>0.125</v>
      </c>
      <c r="F600">
        <v>27</v>
      </c>
      <c r="G600">
        <v>2</v>
      </c>
      <c r="H600">
        <v>2019</v>
      </c>
      <c r="I600" t="s">
        <v>528</v>
      </c>
      <c r="J600" t="str">
        <f t="shared" si="18"/>
        <v>Preliminary</v>
      </c>
      <c r="K600">
        <f t="shared" si="19"/>
        <v>0</v>
      </c>
    </row>
    <row r="601" spans="1:11">
      <c r="A601" t="s">
        <v>191</v>
      </c>
      <c r="B601" t="s">
        <v>192</v>
      </c>
      <c r="C601" t="s">
        <v>20</v>
      </c>
      <c r="D601" t="s">
        <v>17</v>
      </c>
      <c r="E601">
        <v>0.125</v>
      </c>
      <c r="F601">
        <v>27</v>
      </c>
      <c r="G601">
        <v>3</v>
      </c>
      <c r="H601">
        <v>2019</v>
      </c>
      <c r="I601" t="s">
        <v>528</v>
      </c>
      <c r="J601" t="str">
        <f t="shared" si="18"/>
        <v>Preliminary</v>
      </c>
      <c r="K601">
        <f t="shared" si="19"/>
        <v>0</v>
      </c>
    </row>
    <row r="602" spans="1:11">
      <c r="A602" t="s">
        <v>197</v>
      </c>
      <c r="B602" t="s">
        <v>198</v>
      </c>
      <c r="C602" t="s">
        <v>39</v>
      </c>
      <c r="D602" t="s">
        <v>13</v>
      </c>
      <c r="E602">
        <v>1</v>
      </c>
      <c r="F602">
        <v>45</v>
      </c>
      <c r="G602">
        <v>1</v>
      </c>
      <c r="H602">
        <v>2018</v>
      </c>
      <c r="I602" t="s">
        <v>529</v>
      </c>
      <c r="J602" t="str">
        <f t="shared" si="18"/>
        <v>Final</v>
      </c>
      <c r="K602">
        <f t="shared" si="19"/>
        <v>1</v>
      </c>
    </row>
    <row r="603" spans="1:11">
      <c r="A603" t="s">
        <v>257</v>
      </c>
      <c r="B603" t="s">
        <v>258</v>
      </c>
      <c r="C603" t="s">
        <v>12</v>
      </c>
      <c r="D603" t="s">
        <v>17</v>
      </c>
      <c r="E603">
        <v>1</v>
      </c>
      <c r="F603">
        <v>44</v>
      </c>
      <c r="G603">
        <v>2</v>
      </c>
      <c r="H603">
        <v>2018</v>
      </c>
      <c r="I603" t="s">
        <v>529</v>
      </c>
      <c r="J603" t="str">
        <f t="shared" si="18"/>
        <v>Final</v>
      </c>
      <c r="K603">
        <f t="shared" si="19"/>
        <v>0</v>
      </c>
    </row>
    <row r="604" spans="1:11">
      <c r="A604" t="s">
        <v>160</v>
      </c>
      <c r="B604" t="s">
        <v>161</v>
      </c>
      <c r="C604" t="s">
        <v>24</v>
      </c>
      <c r="D604" t="s">
        <v>13</v>
      </c>
      <c r="E604">
        <v>1</v>
      </c>
      <c r="F604">
        <v>39</v>
      </c>
      <c r="G604">
        <v>3</v>
      </c>
      <c r="H604">
        <v>2018</v>
      </c>
      <c r="I604" t="s">
        <v>529</v>
      </c>
      <c r="J604" t="str">
        <f t="shared" si="18"/>
        <v>Final</v>
      </c>
      <c r="K604">
        <f t="shared" si="19"/>
        <v>0</v>
      </c>
    </row>
    <row r="605" spans="1:11">
      <c r="A605" t="s">
        <v>197</v>
      </c>
      <c r="B605" t="s">
        <v>198</v>
      </c>
      <c r="C605" t="s">
        <v>39</v>
      </c>
      <c r="D605" t="s">
        <v>13</v>
      </c>
      <c r="E605">
        <v>0.5</v>
      </c>
      <c r="F605">
        <v>35</v>
      </c>
      <c r="G605">
        <v>1</v>
      </c>
      <c r="H605">
        <v>2018</v>
      </c>
      <c r="I605" t="s">
        <v>530</v>
      </c>
      <c r="J605" t="str">
        <f t="shared" si="18"/>
        <v>Semifinal</v>
      </c>
      <c r="K605">
        <f t="shared" si="19"/>
        <v>1</v>
      </c>
    </row>
    <row r="606" spans="1:11">
      <c r="A606" t="s">
        <v>25</v>
      </c>
      <c r="B606" t="s">
        <v>26</v>
      </c>
      <c r="C606" t="s">
        <v>27</v>
      </c>
      <c r="D606" t="s">
        <v>17</v>
      </c>
      <c r="E606">
        <v>0.5</v>
      </c>
      <c r="F606">
        <v>26</v>
      </c>
      <c r="G606">
        <v>2</v>
      </c>
      <c r="H606">
        <v>2018</v>
      </c>
      <c r="I606" t="s">
        <v>530</v>
      </c>
      <c r="J606" t="str">
        <f t="shared" si="18"/>
        <v>Semifinal</v>
      </c>
      <c r="K606">
        <f t="shared" si="19"/>
        <v>0</v>
      </c>
    </row>
    <row r="607" spans="1:11">
      <c r="A607" t="s">
        <v>41</v>
      </c>
      <c r="B607" t="s">
        <v>42</v>
      </c>
      <c r="C607" t="s">
        <v>27</v>
      </c>
      <c r="D607" t="s">
        <v>17</v>
      </c>
      <c r="E607">
        <v>0.5</v>
      </c>
      <c r="F607">
        <v>22</v>
      </c>
      <c r="G607">
        <v>3</v>
      </c>
      <c r="H607">
        <v>2018</v>
      </c>
      <c r="I607" t="s">
        <v>530</v>
      </c>
      <c r="J607" t="str">
        <f t="shared" si="18"/>
        <v>Semifinal</v>
      </c>
      <c r="K607">
        <f t="shared" si="19"/>
        <v>0</v>
      </c>
    </row>
    <row r="608" spans="1:11">
      <c r="A608" t="s">
        <v>257</v>
      </c>
      <c r="B608" t="s">
        <v>258</v>
      </c>
      <c r="C608" t="s">
        <v>12</v>
      </c>
      <c r="D608" t="s">
        <v>17</v>
      </c>
      <c r="E608">
        <v>0.5</v>
      </c>
      <c r="F608">
        <v>52</v>
      </c>
      <c r="G608">
        <v>1</v>
      </c>
      <c r="H608">
        <v>2018</v>
      </c>
      <c r="I608" t="s">
        <v>531</v>
      </c>
      <c r="J608" t="str">
        <f t="shared" si="18"/>
        <v>Semifinal</v>
      </c>
      <c r="K608">
        <f t="shared" si="19"/>
        <v>1</v>
      </c>
    </row>
    <row r="609" spans="1:11">
      <c r="A609" t="s">
        <v>35</v>
      </c>
      <c r="B609" t="s">
        <v>36</v>
      </c>
      <c r="C609" t="s">
        <v>20</v>
      </c>
      <c r="D609" t="s">
        <v>13</v>
      </c>
      <c r="E609">
        <v>0.5</v>
      </c>
      <c r="F609">
        <v>45</v>
      </c>
      <c r="G609">
        <v>2</v>
      </c>
      <c r="H609">
        <v>2018</v>
      </c>
      <c r="I609" t="s">
        <v>531</v>
      </c>
      <c r="J609" t="str">
        <f t="shared" si="18"/>
        <v>Semifinal</v>
      </c>
      <c r="K609">
        <f t="shared" si="19"/>
        <v>0</v>
      </c>
    </row>
    <row r="610" spans="1:11">
      <c r="A610" t="s">
        <v>132</v>
      </c>
      <c r="B610" t="s">
        <v>133</v>
      </c>
      <c r="C610" t="s">
        <v>39</v>
      </c>
      <c r="D610" t="s">
        <v>31</v>
      </c>
      <c r="E610">
        <v>0.5</v>
      </c>
      <c r="F610">
        <v>29</v>
      </c>
      <c r="G610">
        <v>3</v>
      </c>
      <c r="H610">
        <v>2018</v>
      </c>
      <c r="I610" t="s">
        <v>531</v>
      </c>
      <c r="J610" t="str">
        <f t="shared" si="18"/>
        <v>Semifinal</v>
      </c>
      <c r="K610">
        <f t="shared" si="19"/>
        <v>0</v>
      </c>
    </row>
    <row r="611" spans="1:11">
      <c r="A611" t="s">
        <v>160</v>
      </c>
      <c r="B611" t="s">
        <v>161</v>
      </c>
      <c r="C611" t="s">
        <v>24</v>
      </c>
      <c r="D611" t="s">
        <v>13</v>
      </c>
      <c r="E611">
        <v>0.5</v>
      </c>
      <c r="F611">
        <v>48</v>
      </c>
      <c r="G611">
        <v>1</v>
      </c>
      <c r="H611">
        <v>2018</v>
      </c>
      <c r="I611" t="s">
        <v>532</v>
      </c>
      <c r="J611" t="str">
        <f t="shared" si="18"/>
        <v>Semifinal</v>
      </c>
      <c r="K611">
        <f t="shared" si="19"/>
        <v>1</v>
      </c>
    </row>
    <row r="612" spans="1:11">
      <c r="A612" t="s">
        <v>22</v>
      </c>
      <c r="B612" t="s">
        <v>23</v>
      </c>
      <c r="C612" t="s">
        <v>24</v>
      </c>
      <c r="D612" t="s">
        <v>13</v>
      </c>
      <c r="E612">
        <v>0.5</v>
      </c>
      <c r="F612">
        <v>44</v>
      </c>
      <c r="G612">
        <v>2</v>
      </c>
      <c r="H612">
        <v>2018</v>
      </c>
      <c r="I612" t="s">
        <v>532</v>
      </c>
      <c r="J612" t="str">
        <f t="shared" si="18"/>
        <v>Semifinal</v>
      </c>
      <c r="K612">
        <f t="shared" si="19"/>
        <v>0</v>
      </c>
    </row>
    <row r="613" spans="1:11">
      <c r="A613" t="s">
        <v>140</v>
      </c>
      <c r="B613" t="s">
        <v>141</v>
      </c>
      <c r="C613" t="s">
        <v>24</v>
      </c>
      <c r="D613" t="s">
        <v>17</v>
      </c>
      <c r="E613">
        <v>0.5</v>
      </c>
      <c r="F613">
        <v>26</v>
      </c>
      <c r="G613">
        <v>3</v>
      </c>
      <c r="H613">
        <v>2018</v>
      </c>
      <c r="I613" t="s">
        <v>532</v>
      </c>
      <c r="J613" t="str">
        <f t="shared" si="18"/>
        <v>Semifinal</v>
      </c>
      <c r="K613">
        <f t="shared" si="19"/>
        <v>0</v>
      </c>
    </row>
    <row r="614" spans="1:11">
      <c r="A614" t="s">
        <v>197</v>
      </c>
      <c r="B614" t="s">
        <v>198</v>
      </c>
      <c r="C614" t="s">
        <v>39</v>
      </c>
      <c r="D614" t="s">
        <v>13</v>
      </c>
      <c r="E614">
        <v>0.25</v>
      </c>
      <c r="F614">
        <v>63</v>
      </c>
      <c r="G614">
        <v>1</v>
      </c>
      <c r="H614">
        <v>2018</v>
      </c>
      <c r="I614" t="s">
        <v>533</v>
      </c>
      <c r="J614" t="str">
        <f t="shared" si="18"/>
        <v>Quarterfinal</v>
      </c>
      <c r="K614">
        <f t="shared" si="19"/>
        <v>1</v>
      </c>
    </row>
    <row r="615" spans="1:11">
      <c r="A615" t="s">
        <v>29</v>
      </c>
      <c r="B615" t="s">
        <v>30</v>
      </c>
      <c r="C615" t="s">
        <v>24</v>
      </c>
      <c r="D615" t="s">
        <v>31</v>
      </c>
      <c r="E615">
        <v>0.25</v>
      </c>
      <c r="F615">
        <v>36</v>
      </c>
      <c r="G615">
        <v>2</v>
      </c>
      <c r="H615">
        <v>2018</v>
      </c>
      <c r="I615" t="s">
        <v>533</v>
      </c>
      <c r="J615" t="str">
        <f t="shared" si="18"/>
        <v>Quarterfinal</v>
      </c>
      <c r="K615">
        <f t="shared" si="19"/>
        <v>0</v>
      </c>
    </row>
    <row r="616" spans="1:11">
      <c r="A616" t="s">
        <v>178</v>
      </c>
      <c r="B616" t="s">
        <v>179</v>
      </c>
      <c r="C616" t="s">
        <v>12</v>
      </c>
      <c r="D616" t="s">
        <v>13</v>
      </c>
      <c r="E616">
        <v>0.25</v>
      </c>
      <c r="F616">
        <v>28</v>
      </c>
      <c r="G616">
        <v>3</v>
      </c>
      <c r="H616">
        <v>2018</v>
      </c>
      <c r="I616" t="s">
        <v>533</v>
      </c>
      <c r="J616" t="str">
        <f t="shared" si="18"/>
        <v>Quarterfinal</v>
      </c>
      <c r="K616">
        <f t="shared" si="19"/>
        <v>0</v>
      </c>
    </row>
    <row r="617" spans="1:11">
      <c r="A617" t="s">
        <v>25</v>
      </c>
      <c r="B617" t="s">
        <v>26</v>
      </c>
      <c r="C617" t="s">
        <v>27</v>
      </c>
      <c r="D617" t="s">
        <v>17</v>
      </c>
      <c r="E617">
        <v>0.25</v>
      </c>
      <c r="F617">
        <v>32</v>
      </c>
      <c r="G617">
        <v>1</v>
      </c>
      <c r="H617">
        <v>2018</v>
      </c>
      <c r="I617" t="s">
        <v>534</v>
      </c>
      <c r="J617" t="str">
        <f t="shared" si="18"/>
        <v>Quarterfinal</v>
      </c>
      <c r="K617">
        <f t="shared" si="19"/>
        <v>1</v>
      </c>
    </row>
    <row r="618" spans="1:11">
      <c r="A618" t="s">
        <v>89</v>
      </c>
      <c r="B618" t="s">
        <v>90</v>
      </c>
      <c r="C618" t="s">
        <v>50</v>
      </c>
      <c r="D618" t="s">
        <v>31</v>
      </c>
      <c r="E618">
        <v>0.25</v>
      </c>
      <c r="F618">
        <v>28</v>
      </c>
      <c r="G618">
        <v>2</v>
      </c>
      <c r="H618">
        <v>2018</v>
      </c>
      <c r="I618" t="s">
        <v>534</v>
      </c>
      <c r="J618" t="str">
        <f t="shared" si="18"/>
        <v>Quarterfinal</v>
      </c>
      <c r="K618">
        <f t="shared" si="19"/>
        <v>0</v>
      </c>
    </row>
    <row r="619" spans="1:11">
      <c r="A619" t="s">
        <v>202</v>
      </c>
      <c r="B619" t="s">
        <v>203</v>
      </c>
      <c r="C619" t="s">
        <v>39</v>
      </c>
      <c r="D619" t="s">
        <v>13</v>
      </c>
      <c r="E619">
        <v>0.25</v>
      </c>
      <c r="F619">
        <v>23</v>
      </c>
      <c r="G619">
        <v>3</v>
      </c>
      <c r="H619">
        <v>2018</v>
      </c>
      <c r="I619" t="s">
        <v>534</v>
      </c>
      <c r="J619" t="str">
        <f t="shared" si="18"/>
        <v>Quarterfinal</v>
      </c>
      <c r="K619">
        <f t="shared" si="19"/>
        <v>0</v>
      </c>
    </row>
    <row r="620" spans="1:11">
      <c r="A620" t="s">
        <v>41</v>
      </c>
      <c r="B620" t="s">
        <v>42</v>
      </c>
      <c r="C620" t="s">
        <v>27</v>
      </c>
      <c r="D620" t="s">
        <v>17</v>
      </c>
      <c r="E620">
        <v>0.25</v>
      </c>
      <c r="F620">
        <v>47</v>
      </c>
      <c r="G620">
        <v>1</v>
      </c>
      <c r="H620">
        <v>2018</v>
      </c>
      <c r="I620" t="s">
        <v>535</v>
      </c>
      <c r="J620" t="str">
        <f t="shared" si="18"/>
        <v>Quarterfinal</v>
      </c>
      <c r="K620">
        <f t="shared" si="19"/>
        <v>1</v>
      </c>
    </row>
    <row r="621" spans="1:11">
      <c r="A621" t="s">
        <v>18</v>
      </c>
      <c r="B621" t="s">
        <v>19</v>
      </c>
      <c r="C621" t="s">
        <v>20</v>
      </c>
      <c r="D621" t="s">
        <v>13</v>
      </c>
      <c r="E621">
        <v>0.25</v>
      </c>
      <c r="F621">
        <v>44</v>
      </c>
      <c r="G621">
        <v>2</v>
      </c>
      <c r="H621">
        <v>2018</v>
      </c>
      <c r="I621" t="s">
        <v>535</v>
      </c>
      <c r="J621" t="str">
        <f t="shared" si="18"/>
        <v>Quarterfinal</v>
      </c>
      <c r="K621">
        <f t="shared" si="19"/>
        <v>0</v>
      </c>
    </row>
    <row r="622" spans="1:11">
      <c r="A622" t="s">
        <v>505</v>
      </c>
      <c r="B622" t="s">
        <v>506</v>
      </c>
      <c r="C622" t="s">
        <v>39</v>
      </c>
      <c r="D622" t="s">
        <v>17</v>
      </c>
      <c r="E622">
        <v>0.25</v>
      </c>
      <c r="F622">
        <v>24</v>
      </c>
      <c r="G622">
        <v>3</v>
      </c>
      <c r="H622">
        <v>2018</v>
      </c>
      <c r="I622" t="s">
        <v>535</v>
      </c>
      <c r="J622" t="str">
        <f t="shared" si="18"/>
        <v>Quarterfinal</v>
      </c>
      <c r="K622">
        <f t="shared" si="19"/>
        <v>0</v>
      </c>
    </row>
    <row r="623" spans="1:11">
      <c r="A623" t="s">
        <v>257</v>
      </c>
      <c r="B623" t="s">
        <v>258</v>
      </c>
      <c r="C623" t="s">
        <v>12</v>
      </c>
      <c r="D623" t="s">
        <v>17</v>
      </c>
      <c r="E623">
        <v>0.25</v>
      </c>
      <c r="F623">
        <v>59</v>
      </c>
      <c r="G623">
        <v>1</v>
      </c>
      <c r="H623">
        <v>2018</v>
      </c>
      <c r="I623" t="s">
        <v>536</v>
      </c>
      <c r="J623" t="str">
        <f t="shared" si="18"/>
        <v>Quarterfinal</v>
      </c>
      <c r="K623">
        <f t="shared" si="19"/>
        <v>1</v>
      </c>
    </row>
    <row r="624" spans="1:11">
      <c r="A624" t="s">
        <v>78</v>
      </c>
      <c r="B624" t="s">
        <v>79</v>
      </c>
      <c r="C624" t="s">
        <v>80</v>
      </c>
      <c r="D624" t="s">
        <v>17</v>
      </c>
      <c r="E624">
        <v>0.25</v>
      </c>
      <c r="F624">
        <v>43</v>
      </c>
      <c r="G624">
        <v>2</v>
      </c>
      <c r="H624">
        <v>2018</v>
      </c>
      <c r="I624" t="s">
        <v>536</v>
      </c>
      <c r="J624" t="str">
        <f t="shared" si="18"/>
        <v>Quarterfinal</v>
      </c>
      <c r="K624">
        <f t="shared" si="19"/>
        <v>0</v>
      </c>
    </row>
    <row r="625" spans="1:11">
      <c r="A625" t="s">
        <v>86</v>
      </c>
      <c r="B625" t="s">
        <v>87</v>
      </c>
      <c r="C625" t="s">
        <v>20</v>
      </c>
      <c r="D625" t="s">
        <v>17</v>
      </c>
      <c r="E625">
        <v>0.25</v>
      </c>
      <c r="F625">
        <v>23</v>
      </c>
      <c r="G625">
        <v>3</v>
      </c>
      <c r="H625">
        <v>2018</v>
      </c>
      <c r="I625" t="s">
        <v>536</v>
      </c>
      <c r="J625" t="str">
        <f t="shared" si="18"/>
        <v>Quarterfinal</v>
      </c>
      <c r="K625">
        <f t="shared" si="19"/>
        <v>0</v>
      </c>
    </row>
    <row r="626" spans="1:11">
      <c r="A626" t="s">
        <v>160</v>
      </c>
      <c r="B626" t="s">
        <v>161</v>
      </c>
      <c r="C626" t="s">
        <v>24</v>
      </c>
      <c r="D626" t="s">
        <v>13</v>
      </c>
      <c r="E626">
        <v>0.25</v>
      </c>
      <c r="F626">
        <v>58</v>
      </c>
      <c r="G626">
        <v>1</v>
      </c>
      <c r="H626">
        <v>2018</v>
      </c>
      <c r="I626" t="s">
        <v>537</v>
      </c>
      <c r="J626" t="str">
        <f t="shared" si="18"/>
        <v>Quarterfinal</v>
      </c>
      <c r="K626">
        <f t="shared" si="19"/>
        <v>1</v>
      </c>
    </row>
    <row r="627" spans="1:11">
      <c r="A627" t="s">
        <v>511</v>
      </c>
      <c r="B627" t="s">
        <v>512</v>
      </c>
      <c r="C627" t="s">
        <v>195</v>
      </c>
      <c r="D627" t="s">
        <v>17</v>
      </c>
      <c r="E627">
        <v>0.25</v>
      </c>
      <c r="F627">
        <v>26</v>
      </c>
      <c r="G627">
        <v>2</v>
      </c>
      <c r="H627">
        <v>2018</v>
      </c>
      <c r="I627" t="s">
        <v>537</v>
      </c>
      <c r="J627" t="str">
        <f t="shared" si="18"/>
        <v>Quarterfinal</v>
      </c>
      <c r="K627">
        <f t="shared" si="19"/>
        <v>0</v>
      </c>
    </row>
    <row r="628" spans="1:11">
      <c r="A628" t="s">
        <v>32</v>
      </c>
      <c r="B628" t="s">
        <v>33</v>
      </c>
      <c r="C628" t="s">
        <v>20</v>
      </c>
      <c r="D628" t="s">
        <v>31</v>
      </c>
      <c r="E628">
        <v>0.25</v>
      </c>
      <c r="F628">
        <v>26</v>
      </c>
      <c r="G628">
        <v>3</v>
      </c>
      <c r="H628">
        <v>2018</v>
      </c>
      <c r="I628" t="s">
        <v>537</v>
      </c>
      <c r="J628" t="str">
        <f t="shared" si="18"/>
        <v>Quarterfinal</v>
      </c>
      <c r="K628">
        <f t="shared" si="19"/>
        <v>0</v>
      </c>
    </row>
    <row r="629" spans="1:11">
      <c r="A629" t="s">
        <v>35</v>
      </c>
      <c r="B629" t="s">
        <v>36</v>
      </c>
      <c r="C629" t="s">
        <v>20</v>
      </c>
      <c r="D629" t="s">
        <v>13</v>
      </c>
      <c r="E629">
        <v>0.25</v>
      </c>
      <c r="F629">
        <v>67</v>
      </c>
      <c r="G629">
        <v>1</v>
      </c>
      <c r="H629">
        <v>2018</v>
      </c>
      <c r="I629" t="s">
        <v>538</v>
      </c>
      <c r="J629" t="str">
        <f t="shared" si="18"/>
        <v>Quarterfinal</v>
      </c>
      <c r="K629">
        <f t="shared" si="19"/>
        <v>1</v>
      </c>
    </row>
    <row r="630" spans="1:11">
      <c r="A630" t="s">
        <v>46</v>
      </c>
      <c r="B630" t="s">
        <v>47</v>
      </c>
      <c r="C630" t="s">
        <v>12</v>
      </c>
      <c r="D630" t="s">
        <v>13</v>
      </c>
      <c r="E630">
        <v>0.25</v>
      </c>
      <c r="F630">
        <v>26</v>
      </c>
      <c r="G630">
        <v>2</v>
      </c>
      <c r="H630">
        <v>2018</v>
      </c>
      <c r="I630" t="s">
        <v>538</v>
      </c>
      <c r="J630" t="str">
        <f t="shared" si="18"/>
        <v>Quarterfinal</v>
      </c>
      <c r="K630">
        <f t="shared" si="19"/>
        <v>0</v>
      </c>
    </row>
    <row r="631" spans="1:11">
      <c r="A631" t="s">
        <v>525</v>
      </c>
      <c r="B631" t="s">
        <v>526</v>
      </c>
      <c r="C631" t="s">
        <v>20</v>
      </c>
      <c r="D631" t="s">
        <v>17</v>
      </c>
      <c r="E631">
        <v>0.25</v>
      </c>
      <c r="F631">
        <v>17</v>
      </c>
      <c r="G631">
        <v>3</v>
      </c>
      <c r="H631">
        <v>2018</v>
      </c>
      <c r="I631" t="s">
        <v>538</v>
      </c>
      <c r="J631" t="str">
        <f t="shared" si="18"/>
        <v>Quarterfinal</v>
      </c>
      <c r="K631">
        <f t="shared" si="19"/>
        <v>0</v>
      </c>
    </row>
    <row r="632" spans="1:11">
      <c r="A632" t="s">
        <v>132</v>
      </c>
      <c r="B632" t="s">
        <v>133</v>
      </c>
      <c r="C632" t="s">
        <v>39</v>
      </c>
      <c r="D632" t="s">
        <v>31</v>
      </c>
      <c r="E632">
        <v>0.25</v>
      </c>
      <c r="F632">
        <v>34</v>
      </c>
      <c r="G632">
        <v>1</v>
      </c>
      <c r="H632">
        <v>2018</v>
      </c>
      <c r="I632" t="s">
        <v>539</v>
      </c>
      <c r="J632" t="str">
        <f t="shared" si="18"/>
        <v>Quarterfinal</v>
      </c>
      <c r="K632">
        <f t="shared" si="19"/>
        <v>1</v>
      </c>
    </row>
    <row r="633" spans="1:11">
      <c r="A633" t="s">
        <v>145</v>
      </c>
      <c r="B633" t="s">
        <v>146</v>
      </c>
      <c r="C633" t="s">
        <v>24</v>
      </c>
      <c r="D633" t="s">
        <v>31</v>
      </c>
      <c r="E633">
        <v>0.25</v>
      </c>
      <c r="F633">
        <v>30</v>
      </c>
      <c r="G633">
        <v>2</v>
      </c>
      <c r="H633">
        <v>2018</v>
      </c>
      <c r="I633" t="s">
        <v>539</v>
      </c>
      <c r="J633" t="str">
        <f t="shared" si="18"/>
        <v>Quarterfinal</v>
      </c>
      <c r="K633">
        <f t="shared" si="19"/>
        <v>0</v>
      </c>
    </row>
    <row r="634" spans="1:11">
      <c r="A634" t="s">
        <v>356</v>
      </c>
      <c r="B634" t="s">
        <v>357</v>
      </c>
      <c r="C634" t="s">
        <v>12</v>
      </c>
      <c r="D634" t="s">
        <v>17</v>
      </c>
      <c r="E634">
        <v>0.25</v>
      </c>
      <c r="F634">
        <v>21</v>
      </c>
      <c r="G634">
        <v>3</v>
      </c>
      <c r="H634">
        <v>2018</v>
      </c>
      <c r="I634" t="s">
        <v>539</v>
      </c>
      <c r="J634" t="str">
        <f t="shared" si="18"/>
        <v>Quarterfinal</v>
      </c>
      <c r="K634">
        <f t="shared" si="19"/>
        <v>0</v>
      </c>
    </row>
    <row r="635" spans="1:11">
      <c r="A635" t="s">
        <v>22</v>
      </c>
      <c r="B635" t="s">
        <v>23</v>
      </c>
      <c r="C635" t="s">
        <v>24</v>
      </c>
      <c r="D635" t="s">
        <v>13</v>
      </c>
      <c r="E635">
        <v>0.25</v>
      </c>
      <c r="F635">
        <v>50</v>
      </c>
      <c r="G635">
        <v>1</v>
      </c>
      <c r="H635">
        <v>2018</v>
      </c>
      <c r="I635" t="s">
        <v>540</v>
      </c>
      <c r="J635" t="str">
        <f t="shared" si="18"/>
        <v>Quarterfinal</v>
      </c>
      <c r="K635">
        <f t="shared" si="19"/>
        <v>1</v>
      </c>
    </row>
    <row r="636" spans="1:11">
      <c r="A636" t="s">
        <v>10</v>
      </c>
      <c r="B636" t="s">
        <v>11</v>
      </c>
      <c r="C636" t="s">
        <v>12</v>
      </c>
      <c r="D636" t="s">
        <v>13</v>
      </c>
      <c r="E636">
        <v>0.25</v>
      </c>
      <c r="F636">
        <v>34</v>
      </c>
      <c r="G636">
        <v>2</v>
      </c>
      <c r="H636">
        <v>2018</v>
      </c>
      <c r="I636" t="s">
        <v>540</v>
      </c>
      <c r="J636" t="str">
        <f t="shared" si="18"/>
        <v>Quarterfinal</v>
      </c>
      <c r="K636">
        <f t="shared" si="19"/>
        <v>0</v>
      </c>
    </row>
    <row r="637" spans="1:11">
      <c r="A637" t="s">
        <v>181</v>
      </c>
      <c r="B637" t="s">
        <v>182</v>
      </c>
      <c r="C637" t="s">
        <v>20</v>
      </c>
      <c r="D637" t="s">
        <v>17</v>
      </c>
      <c r="E637">
        <v>0.25</v>
      </c>
      <c r="F637">
        <v>20</v>
      </c>
      <c r="G637">
        <v>3</v>
      </c>
      <c r="H637">
        <v>2018</v>
      </c>
      <c r="I637" t="s">
        <v>540</v>
      </c>
      <c r="J637" t="str">
        <f t="shared" si="18"/>
        <v>Quarterfinal</v>
      </c>
      <c r="K637">
        <f t="shared" si="19"/>
        <v>0</v>
      </c>
    </row>
    <row r="638" spans="1:11">
      <c r="A638" t="s">
        <v>140</v>
      </c>
      <c r="B638" t="s">
        <v>141</v>
      </c>
      <c r="C638" t="s">
        <v>24</v>
      </c>
      <c r="D638" t="s">
        <v>17</v>
      </c>
      <c r="E638">
        <v>0.25</v>
      </c>
      <c r="F638">
        <v>45</v>
      </c>
      <c r="G638">
        <v>1</v>
      </c>
      <c r="H638">
        <v>2018</v>
      </c>
      <c r="I638" t="s">
        <v>541</v>
      </c>
      <c r="J638" t="str">
        <f t="shared" si="18"/>
        <v>Quarterfinal</v>
      </c>
      <c r="K638">
        <f t="shared" si="19"/>
        <v>1</v>
      </c>
    </row>
    <row r="639" spans="1:11">
      <c r="A639" t="s">
        <v>199</v>
      </c>
      <c r="B639" t="s">
        <v>200</v>
      </c>
      <c r="C639" t="s">
        <v>39</v>
      </c>
      <c r="D639" t="s">
        <v>31</v>
      </c>
      <c r="E639">
        <v>0.25</v>
      </c>
      <c r="F639">
        <v>38</v>
      </c>
      <c r="G639">
        <v>2</v>
      </c>
      <c r="H639">
        <v>2018</v>
      </c>
      <c r="I639" t="s">
        <v>541</v>
      </c>
      <c r="J639" t="str">
        <f t="shared" si="18"/>
        <v>Quarterfinal</v>
      </c>
      <c r="K639">
        <f t="shared" si="19"/>
        <v>0</v>
      </c>
    </row>
    <row r="640" spans="1:11">
      <c r="A640" t="s">
        <v>165</v>
      </c>
      <c r="B640" t="s">
        <v>166</v>
      </c>
      <c r="C640" t="s">
        <v>24</v>
      </c>
      <c r="D640" t="s">
        <v>17</v>
      </c>
      <c r="E640">
        <v>0.25</v>
      </c>
      <c r="F640">
        <v>30</v>
      </c>
      <c r="G640">
        <v>3</v>
      </c>
      <c r="H640">
        <v>2018</v>
      </c>
      <c r="I640" t="s">
        <v>541</v>
      </c>
      <c r="J640" t="str">
        <f t="shared" si="18"/>
        <v>Quarterfinal</v>
      </c>
      <c r="K640">
        <f t="shared" si="19"/>
        <v>0</v>
      </c>
    </row>
    <row r="641" spans="1:11">
      <c r="A641" t="s">
        <v>197</v>
      </c>
      <c r="B641" t="s">
        <v>198</v>
      </c>
      <c r="C641" t="s">
        <v>39</v>
      </c>
      <c r="D641" t="s">
        <v>13</v>
      </c>
      <c r="E641">
        <v>0.125</v>
      </c>
      <c r="F641">
        <v>62</v>
      </c>
      <c r="G641">
        <v>1</v>
      </c>
      <c r="H641">
        <v>2018</v>
      </c>
      <c r="I641" t="s">
        <v>542</v>
      </c>
      <c r="J641" t="str">
        <f t="shared" si="18"/>
        <v>Preliminary</v>
      </c>
      <c r="K641">
        <f t="shared" si="19"/>
        <v>1</v>
      </c>
    </row>
    <row r="642" spans="1:11">
      <c r="A642" t="s">
        <v>543</v>
      </c>
      <c r="B642" t="s">
        <v>544</v>
      </c>
      <c r="C642" t="s">
        <v>20</v>
      </c>
      <c r="D642" t="s">
        <v>17</v>
      </c>
      <c r="E642">
        <v>0.125</v>
      </c>
      <c r="F642">
        <v>20</v>
      </c>
      <c r="G642">
        <v>2</v>
      </c>
      <c r="H642">
        <v>2018</v>
      </c>
      <c r="I642" t="s">
        <v>542</v>
      </c>
      <c r="J642" t="str">
        <f t="shared" si="18"/>
        <v>Preliminary</v>
      </c>
      <c r="K642">
        <f t="shared" si="19"/>
        <v>0</v>
      </c>
    </row>
    <row r="643" spans="1:11">
      <c r="A643" t="s">
        <v>209</v>
      </c>
      <c r="B643" t="s">
        <v>210</v>
      </c>
      <c r="C643" t="s">
        <v>50</v>
      </c>
      <c r="D643" t="s">
        <v>17</v>
      </c>
      <c r="E643">
        <v>0.125</v>
      </c>
      <c r="F643">
        <v>19</v>
      </c>
      <c r="G643">
        <v>3</v>
      </c>
      <c r="H643">
        <v>2018</v>
      </c>
      <c r="I643" t="s">
        <v>542</v>
      </c>
      <c r="J643" t="str">
        <f t="shared" ref="J643:J706" si="20">IF(E643=1,"Final",IF(E643=0.5,"Semifinal",IF(E643=0.25,"Quarterfinal",IF(E643=0.125,"Preliminary","Unknown"))))</f>
        <v>Preliminary</v>
      </c>
      <c r="K643">
        <f t="shared" ref="K643:K706" si="21">IF(G643=1,1,0)</f>
        <v>0</v>
      </c>
    </row>
    <row r="644" spans="1:11">
      <c r="A644" t="s">
        <v>178</v>
      </c>
      <c r="B644" t="s">
        <v>179</v>
      </c>
      <c r="C644" t="s">
        <v>12</v>
      </c>
      <c r="D644" t="s">
        <v>13</v>
      </c>
      <c r="E644">
        <v>0.125</v>
      </c>
      <c r="F644">
        <v>44</v>
      </c>
      <c r="G644">
        <v>1</v>
      </c>
      <c r="H644">
        <v>2018</v>
      </c>
      <c r="I644" t="s">
        <v>545</v>
      </c>
      <c r="J644" t="str">
        <f t="shared" si="20"/>
        <v>Preliminary</v>
      </c>
      <c r="K644">
        <f t="shared" si="21"/>
        <v>1</v>
      </c>
    </row>
    <row r="645" spans="1:11">
      <c r="A645" t="s">
        <v>62</v>
      </c>
      <c r="B645" t="s">
        <v>63</v>
      </c>
      <c r="C645" t="s">
        <v>20</v>
      </c>
      <c r="D645" t="s">
        <v>17</v>
      </c>
      <c r="E645">
        <v>0.125</v>
      </c>
      <c r="F645">
        <v>42</v>
      </c>
      <c r="G645">
        <v>2</v>
      </c>
      <c r="H645">
        <v>2018</v>
      </c>
      <c r="I645" t="s">
        <v>545</v>
      </c>
      <c r="J645" t="str">
        <f t="shared" si="20"/>
        <v>Preliminary</v>
      </c>
      <c r="K645">
        <f t="shared" si="21"/>
        <v>0</v>
      </c>
    </row>
    <row r="646" spans="1:11">
      <c r="A646" t="s">
        <v>546</v>
      </c>
      <c r="B646" t="s">
        <v>547</v>
      </c>
      <c r="C646" t="s">
        <v>50</v>
      </c>
      <c r="D646" t="s">
        <v>17</v>
      </c>
      <c r="E646">
        <v>0.125</v>
      </c>
      <c r="F646">
        <v>26</v>
      </c>
      <c r="G646">
        <v>3</v>
      </c>
      <c r="H646">
        <v>2018</v>
      </c>
      <c r="I646" t="s">
        <v>545</v>
      </c>
      <c r="J646" t="str">
        <f t="shared" si="20"/>
        <v>Preliminary</v>
      </c>
      <c r="K646">
        <f t="shared" si="21"/>
        <v>0</v>
      </c>
    </row>
    <row r="647" spans="1:11">
      <c r="A647" t="s">
        <v>29</v>
      </c>
      <c r="B647" t="s">
        <v>30</v>
      </c>
      <c r="C647" t="s">
        <v>24</v>
      </c>
      <c r="D647" t="s">
        <v>31</v>
      </c>
      <c r="E647">
        <v>0.125</v>
      </c>
      <c r="F647">
        <v>45</v>
      </c>
      <c r="G647">
        <v>1</v>
      </c>
      <c r="H647">
        <v>2018</v>
      </c>
      <c r="I647" t="s">
        <v>548</v>
      </c>
      <c r="J647" t="str">
        <f t="shared" si="20"/>
        <v>Preliminary</v>
      </c>
      <c r="K647">
        <f t="shared" si="21"/>
        <v>1</v>
      </c>
    </row>
    <row r="648" spans="1:11">
      <c r="A648" t="s">
        <v>167</v>
      </c>
      <c r="B648" t="s">
        <v>168</v>
      </c>
      <c r="C648" t="s">
        <v>24</v>
      </c>
      <c r="D648" t="s">
        <v>17</v>
      </c>
      <c r="E648">
        <v>0.125</v>
      </c>
      <c r="F648">
        <v>37</v>
      </c>
      <c r="G648">
        <v>2</v>
      </c>
      <c r="H648">
        <v>2018</v>
      </c>
      <c r="I648" t="s">
        <v>548</v>
      </c>
      <c r="J648" t="str">
        <f t="shared" si="20"/>
        <v>Preliminary</v>
      </c>
      <c r="K648">
        <f t="shared" si="21"/>
        <v>0</v>
      </c>
    </row>
    <row r="649" spans="1:11">
      <c r="A649" t="s">
        <v>549</v>
      </c>
      <c r="B649" t="s">
        <v>550</v>
      </c>
      <c r="C649" t="s">
        <v>74</v>
      </c>
      <c r="D649" t="s">
        <v>17</v>
      </c>
      <c r="E649">
        <v>0.125</v>
      </c>
      <c r="F649">
        <v>19</v>
      </c>
      <c r="G649">
        <v>3</v>
      </c>
      <c r="H649">
        <v>2018</v>
      </c>
      <c r="I649" t="s">
        <v>548</v>
      </c>
      <c r="J649" t="str">
        <f t="shared" si="20"/>
        <v>Preliminary</v>
      </c>
      <c r="K649">
        <f t="shared" si="21"/>
        <v>0</v>
      </c>
    </row>
    <row r="650" spans="1:11">
      <c r="A650" t="s">
        <v>25</v>
      </c>
      <c r="B650" t="s">
        <v>26</v>
      </c>
      <c r="C650" t="s">
        <v>27</v>
      </c>
      <c r="D650" t="s">
        <v>17</v>
      </c>
      <c r="E650">
        <v>0.125</v>
      </c>
      <c r="F650">
        <v>35</v>
      </c>
      <c r="G650">
        <v>1</v>
      </c>
      <c r="H650">
        <v>2018</v>
      </c>
      <c r="I650" t="s">
        <v>551</v>
      </c>
      <c r="J650" t="str">
        <f t="shared" si="20"/>
        <v>Preliminary</v>
      </c>
      <c r="K650">
        <f t="shared" si="21"/>
        <v>1</v>
      </c>
    </row>
    <row r="651" spans="1:11">
      <c r="A651" t="s">
        <v>552</v>
      </c>
      <c r="B651" t="s">
        <v>553</v>
      </c>
      <c r="C651" t="s">
        <v>39</v>
      </c>
      <c r="D651" t="s">
        <v>17</v>
      </c>
      <c r="E651">
        <v>0.125</v>
      </c>
      <c r="F651">
        <v>33</v>
      </c>
      <c r="G651">
        <v>2</v>
      </c>
      <c r="H651">
        <v>2018</v>
      </c>
      <c r="I651" t="s">
        <v>551</v>
      </c>
      <c r="J651" t="str">
        <f t="shared" si="20"/>
        <v>Preliminary</v>
      </c>
      <c r="K651">
        <f t="shared" si="21"/>
        <v>0</v>
      </c>
    </row>
    <row r="652" spans="1:11">
      <c r="A652" t="s">
        <v>430</v>
      </c>
      <c r="B652" t="s">
        <v>431</v>
      </c>
      <c r="C652" t="s">
        <v>74</v>
      </c>
      <c r="D652" t="s">
        <v>17</v>
      </c>
      <c r="E652">
        <v>0.125</v>
      </c>
      <c r="F652">
        <v>29</v>
      </c>
      <c r="G652">
        <v>3</v>
      </c>
      <c r="H652">
        <v>2018</v>
      </c>
      <c r="I652" t="s">
        <v>551</v>
      </c>
      <c r="J652" t="str">
        <f t="shared" si="20"/>
        <v>Preliminary</v>
      </c>
      <c r="K652">
        <f t="shared" si="21"/>
        <v>0</v>
      </c>
    </row>
    <row r="653" spans="1:11">
      <c r="A653" t="s">
        <v>89</v>
      </c>
      <c r="B653" t="s">
        <v>90</v>
      </c>
      <c r="C653" t="s">
        <v>50</v>
      </c>
      <c r="D653" t="s">
        <v>31</v>
      </c>
      <c r="E653">
        <v>0.125</v>
      </c>
      <c r="F653">
        <v>35</v>
      </c>
      <c r="G653">
        <v>1</v>
      </c>
      <c r="H653">
        <v>2018</v>
      </c>
      <c r="I653" t="s">
        <v>554</v>
      </c>
      <c r="J653" t="str">
        <f t="shared" si="20"/>
        <v>Preliminary</v>
      </c>
      <c r="K653">
        <f t="shared" si="21"/>
        <v>1</v>
      </c>
    </row>
    <row r="654" spans="1:11">
      <c r="A654" t="s">
        <v>508</v>
      </c>
      <c r="B654" t="s">
        <v>509</v>
      </c>
      <c r="C654" t="s">
        <v>24</v>
      </c>
      <c r="D654" t="s">
        <v>17</v>
      </c>
      <c r="E654">
        <v>0.125</v>
      </c>
      <c r="F654">
        <v>27</v>
      </c>
      <c r="G654">
        <v>2</v>
      </c>
      <c r="H654">
        <v>2018</v>
      </c>
      <c r="I654" t="s">
        <v>554</v>
      </c>
      <c r="J654" t="str">
        <f t="shared" si="20"/>
        <v>Preliminary</v>
      </c>
      <c r="K654">
        <f t="shared" si="21"/>
        <v>0</v>
      </c>
    </row>
    <row r="655" spans="1:11">
      <c r="A655" t="s">
        <v>172</v>
      </c>
      <c r="B655" t="s">
        <v>173</v>
      </c>
      <c r="C655" t="s">
        <v>39</v>
      </c>
      <c r="D655" t="s">
        <v>17</v>
      </c>
      <c r="E655">
        <v>0.125</v>
      </c>
      <c r="F655">
        <v>13</v>
      </c>
      <c r="G655">
        <v>3</v>
      </c>
      <c r="H655">
        <v>2018</v>
      </c>
      <c r="I655" t="s">
        <v>554</v>
      </c>
      <c r="J655" t="str">
        <f t="shared" si="20"/>
        <v>Preliminary</v>
      </c>
      <c r="K655">
        <f t="shared" si="21"/>
        <v>0</v>
      </c>
    </row>
    <row r="656" spans="1:11">
      <c r="A656" t="s">
        <v>202</v>
      </c>
      <c r="B656" t="s">
        <v>203</v>
      </c>
      <c r="C656" t="s">
        <v>39</v>
      </c>
      <c r="D656" t="s">
        <v>13</v>
      </c>
      <c r="E656">
        <v>0.125</v>
      </c>
      <c r="F656">
        <v>39</v>
      </c>
      <c r="G656">
        <v>1</v>
      </c>
      <c r="H656">
        <v>2018</v>
      </c>
      <c r="I656" t="s">
        <v>555</v>
      </c>
      <c r="J656" t="str">
        <f t="shared" si="20"/>
        <v>Preliminary</v>
      </c>
      <c r="K656">
        <f t="shared" si="21"/>
        <v>1</v>
      </c>
    </row>
    <row r="657" spans="1:11">
      <c r="A657" t="s">
        <v>37</v>
      </c>
      <c r="B657" t="s">
        <v>38</v>
      </c>
      <c r="C657" t="s">
        <v>39</v>
      </c>
      <c r="D657" t="s">
        <v>13</v>
      </c>
      <c r="E657">
        <v>0.125</v>
      </c>
      <c r="F657">
        <v>31</v>
      </c>
      <c r="G657">
        <v>2</v>
      </c>
      <c r="H657">
        <v>2018</v>
      </c>
      <c r="I657" t="s">
        <v>555</v>
      </c>
      <c r="J657" t="str">
        <f t="shared" si="20"/>
        <v>Preliminary</v>
      </c>
      <c r="K657">
        <f t="shared" si="21"/>
        <v>0</v>
      </c>
    </row>
    <row r="658" spans="1:11">
      <c r="A658" t="s">
        <v>191</v>
      </c>
      <c r="B658" t="s">
        <v>192</v>
      </c>
      <c r="C658" t="s">
        <v>20</v>
      </c>
      <c r="D658" t="s">
        <v>17</v>
      </c>
      <c r="E658">
        <v>0.125</v>
      </c>
      <c r="F658">
        <v>25</v>
      </c>
      <c r="G658">
        <v>3</v>
      </c>
      <c r="H658">
        <v>2018</v>
      </c>
      <c r="I658" t="s">
        <v>555</v>
      </c>
      <c r="J658" t="str">
        <f t="shared" si="20"/>
        <v>Preliminary</v>
      </c>
      <c r="K658">
        <f t="shared" si="21"/>
        <v>0</v>
      </c>
    </row>
    <row r="659" spans="1:11">
      <c r="A659" t="s">
        <v>41</v>
      </c>
      <c r="B659" t="s">
        <v>42</v>
      </c>
      <c r="C659" t="s">
        <v>27</v>
      </c>
      <c r="D659" t="s">
        <v>17</v>
      </c>
      <c r="E659">
        <v>0.125</v>
      </c>
      <c r="F659">
        <v>44</v>
      </c>
      <c r="G659">
        <v>1</v>
      </c>
      <c r="H659">
        <v>2018</v>
      </c>
      <c r="I659" t="s">
        <v>556</v>
      </c>
      <c r="J659" t="str">
        <f t="shared" si="20"/>
        <v>Preliminary</v>
      </c>
      <c r="K659">
        <f t="shared" si="21"/>
        <v>1</v>
      </c>
    </row>
    <row r="660" spans="1:11">
      <c r="A660" t="s">
        <v>557</v>
      </c>
      <c r="B660" t="s">
        <v>557</v>
      </c>
      <c r="C660" t="s">
        <v>24</v>
      </c>
      <c r="D660" t="s">
        <v>17</v>
      </c>
      <c r="E660">
        <v>0.125</v>
      </c>
      <c r="F660">
        <v>23</v>
      </c>
      <c r="G660">
        <v>2</v>
      </c>
      <c r="H660">
        <v>2018</v>
      </c>
      <c r="I660" t="s">
        <v>556</v>
      </c>
      <c r="J660" t="str">
        <f t="shared" si="20"/>
        <v>Preliminary</v>
      </c>
      <c r="K660">
        <f t="shared" si="21"/>
        <v>0</v>
      </c>
    </row>
    <row r="661" spans="1:11">
      <c r="A661" t="s">
        <v>69</v>
      </c>
      <c r="B661" t="s">
        <v>70</v>
      </c>
      <c r="C661" t="s">
        <v>27</v>
      </c>
      <c r="D661" t="s">
        <v>13</v>
      </c>
      <c r="E661">
        <v>0.125</v>
      </c>
      <c r="F661">
        <v>20</v>
      </c>
      <c r="G661">
        <v>3</v>
      </c>
      <c r="H661">
        <v>2018</v>
      </c>
      <c r="I661" t="s">
        <v>556</v>
      </c>
      <c r="J661" t="str">
        <f t="shared" si="20"/>
        <v>Preliminary</v>
      </c>
      <c r="K661">
        <f t="shared" si="21"/>
        <v>0</v>
      </c>
    </row>
    <row r="662" spans="1:11">
      <c r="A662" t="s">
        <v>18</v>
      </c>
      <c r="B662" t="s">
        <v>19</v>
      </c>
      <c r="C662" t="s">
        <v>20</v>
      </c>
      <c r="D662" t="s">
        <v>13</v>
      </c>
      <c r="E662">
        <v>0.125</v>
      </c>
      <c r="F662">
        <v>61</v>
      </c>
      <c r="G662">
        <v>1</v>
      </c>
      <c r="H662">
        <v>2018</v>
      </c>
      <c r="I662" t="s">
        <v>558</v>
      </c>
      <c r="J662" t="str">
        <f t="shared" si="20"/>
        <v>Preliminary</v>
      </c>
      <c r="K662">
        <f t="shared" si="21"/>
        <v>1</v>
      </c>
    </row>
    <row r="663" spans="1:11">
      <c r="A663" t="s">
        <v>48</v>
      </c>
      <c r="B663" t="s">
        <v>49</v>
      </c>
      <c r="C663" t="s">
        <v>50</v>
      </c>
      <c r="D663" t="s">
        <v>13</v>
      </c>
      <c r="E663">
        <v>0.125</v>
      </c>
      <c r="F663">
        <v>33</v>
      </c>
      <c r="G663">
        <v>2</v>
      </c>
      <c r="H663">
        <v>2018</v>
      </c>
      <c r="I663" t="s">
        <v>558</v>
      </c>
      <c r="J663" t="str">
        <f t="shared" si="20"/>
        <v>Preliminary</v>
      </c>
      <c r="K663">
        <f t="shared" si="21"/>
        <v>0</v>
      </c>
    </row>
    <row r="664" spans="1:11">
      <c r="A664" t="s">
        <v>175</v>
      </c>
      <c r="B664" t="s">
        <v>176</v>
      </c>
      <c r="C664" t="s">
        <v>177</v>
      </c>
      <c r="D664" t="s">
        <v>31</v>
      </c>
      <c r="E664">
        <v>0.125</v>
      </c>
      <c r="F664">
        <v>30</v>
      </c>
      <c r="G664">
        <v>3</v>
      </c>
      <c r="H664">
        <v>2018</v>
      </c>
      <c r="I664" t="s">
        <v>558</v>
      </c>
      <c r="J664" t="str">
        <f t="shared" si="20"/>
        <v>Preliminary</v>
      </c>
      <c r="K664">
        <f t="shared" si="21"/>
        <v>0</v>
      </c>
    </row>
    <row r="665" spans="1:11">
      <c r="A665" t="s">
        <v>505</v>
      </c>
      <c r="B665" t="s">
        <v>506</v>
      </c>
      <c r="C665" t="s">
        <v>39</v>
      </c>
      <c r="D665" t="s">
        <v>17</v>
      </c>
      <c r="E665">
        <v>0.125</v>
      </c>
      <c r="F665">
        <v>25</v>
      </c>
      <c r="G665">
        <v>1</v>
      </c>
      <c r="H665">
        <v>2018</v>
      </c>
      <c r="I665" t="s">
        <v>559</v>
      </c>
      <c r="J665" t="str">
        <f t="shared" si="20"/>
        <v>Preliminary</v>
      </c>
      <c r="K665">
        <f t="shared" si="21"/>
        <v>1</v>
      </c>
    </row>
    <row r="666" spans="1:11">
      <c r="A666" t="s">
        <v>560</v>
      </c>
      <c r="B666" t="s">
        <v>561</v>
      </c>
      <c r="C666" t="s">
        <v>20</v>
      </c>
      <c r="D666" t="s">
        <v>17</v>
      </c>
      <c r="E666">
        <v>0.125</v>
      </c>
      <c r="F666">
        <v>20</v>
      </c>
      <c r="G666">
        <v>2</v>
      </c>
      <c r="H666">
        <v>2018</v>
      </c>
      <c r="I666" t="s">
        <v>559</v>
      </c>
      <c r="J666" t="str">
        <f t="shared" si="20"/>
        <v>Preliminary</v>
      </c>
      <c r="K666">
        <f t="shared" si="21"/>
        <v>0</v>
      </c>
    </row>
    <row r="667" spans="1:11">
      <c r="A667" t="s">
        <v>91</v>
      </c>
      <c r="B667" t="s">
        <v>92</v>
      </c>
      <c r="C667" t="s">
        <v>12</v>
      </c>
      <c r="D667" t="s">
        <v>17</v>
      </c>
      <c r="E667">
        <v>0.125</v>
      </c>
      <c r="F667">
        <v>17</v>
      </c>
      <c r="G667">
        <v>3</v>
      </c>
      <c r="H667">
        <v>2018</v>
      </c>
      <c r="I667" t="s">
        <v>559</v>
      </c>
      <c r="J667" t="str">
        <f t="shared" si="20"/>
        <v>Preliminary</v>
      </c>
      <c r="K667">
        <f t="shared" si="21"/>
        <v>0</v>
      </c>
    </row>
    <row r="668" spans="1:11">
      <c r="A668" t="s">
        <v>257</v>
      </c>
      <c r="B668" t="s">
        <v>258</v>
      </c>
      <c r="C668" t="s">
        <v>12</v>
      </c>
      <c r="D668" t="s">
        <v>17</v>
      </c>
      <c r="E668">
        <v>0.125</v>
      </c>
      <c r="F668">
        <v>62</v>
      </c>
      <c r="G668">
        <v>1</v>
      </c>
      <c r="H668">
        <v>2018</v>
      </c>
      <c r="I668" t="s">
        <v>562</v>
      </c>
      <c r="J668" t="str">
        <f t="shared" si="20"/>
        <v>Preliminary</v>
      </c>
      <c r="K668">
        <f t="shared" si="21"/>
        <v>1</v>
      </c>
    </row>
    <row r="669" spans="1:11">
      <c r="A669" t="s">
        <v>222</v>
      </c>
      <c r="B669" t="s">
        <v>223</v>
      </c>
      <c r="C669" t="s">
        <v>20</v>
      </c>
      <c r="D669" t="s">
        <v>17</v>
      </c>
      <c r="E669">
        <v>0.125</v>
      </c>
      <c r="F669">
        <v>55</v>
      </c>
      <c r="G669">
        <v>2</v>
      </c>
      <c r="H669">
        <v>2018</v>
      </c>
      <c r="I669" t="s">
        <v>562</v>
      </c>
      <c r="J669" t="str">
        <f t="shared" si="20"/>
        <v>Preliminary</v>
      </c>
      <c r="K669">
        <f t="shared" si="21"/>
        <v>0</v>
      </c>
    </row>
    <row r="670" spans="1:11">
      <c r="A670" t="s">
        <v>478</v>
      </c>
      <c r="B670" t="s">
        <v>479</v>
      </c>
      <c r="C670" t="s">
        <v>480</v>
      </c>
      <c r="D670" t="s">
        <v>17</v>
      </c>
      <c r="E670">
        <v>0.125</v>
      </c>
      <c r="F670">
        <v>23</v>
      </c>
      <c r="G670">
        <v>3</v>
      </c>
      <c r="H670">
        <v>2018</v>
      </c>
      <c r="I670" t="s">
        <v>562</v>
      </c>
      <c r="J670" t="str">
        <f t="shared" si="20"/>
        <v>Preliminary</v>
      </c>
      <c r="K670">
        <f t="shared" si="21"/>
        <v>0</v>
      </c>
    </row>
    <row r="671" spans="1:11">
      <c r="A671" t="s">
        <v>78</v>
      </c>
      <c r="B671" t="s">
        <v>79</v>
      </c>
      <c r="C671" t="s">
        <v>80</v>
      </c>
      <c r="D671" t="s">
        <v>17</v>
      </c>
      <c r="E671">
        <v>0.125</v>
      </c>
      <c r="F671">
        <v>48</v>
      </c>
      <c r="G671">
        <v>1</v>
      </c>
      <c r="H671">
        <v>2018</v>
      </c>
      <c r="I671" t="s">
        <v>563</v>
      </c>
      <c r="J671" t="str">
        <f t="shared" si="20"/>
        <v>Preliminary</v>
      </c>
      <c r="K671">
        <f t="shared" si="21"/>
        <v>1</v>
      </c>
    </row>
    <row r="672" spans="1:11">
      <c r="A672" t="s">
        <v>15</v>
      </c>
      <c r="B672" t="s">
        <v>16</v>
      </c>
      <c r="C672" t="s">
        <v>12</v>
      </c>
      <c r="D672" t="s">
        <v>17</v>
      </c>
      <c r="E672">
        <v>0.125</v>
      </c>
      <c r="F672">
        <v>45</v>
      </c>
      <c r="G672">
        <v>2</v>
      </c>
      <c r="H672">
        <v>2018</v>
      </c>
      <c r="I672" t="s">
        <v>563</v>
      </c>
      <c r="J672" t="str">
        <f t="shared" si="20"/>
        <v>Preliminary</v>
      </c>
      <c r="K672">
        <f t="shared" si="21"/>
        <v>0</v>
      </c>
    </row>
    <row r="673" spans="1:11">
      <c r="A673" t="s">
        <v>295</v>
      </c>
      <c r="B673" t="s">
        <v>296</v>
      </c>
      <c r="C673" t="s">
        <v>24</v>
      </c>
      <c r="D673" t="s">
        <v>17</v>
      </c>
      <c r="E673">
        <v>0.125</v>
      </c>
      <c r="F673">
        <v>35</v>
      </c>
      <c r="G673">
        <v>3</v>
      </c>
      <c r="H673">
        <v>2018</v>
      </c>
      <c r="I673" t="s">
        <v>563</v>
      </c>
      <c r="J673" t="str">
        <f t="shared" si="20"/>
        <v>Preliminary</v>
      </c>
      <c r="K673">
        <f t="shared" si="21"/>
        <v>0</v>
      </c>
    </row>
    <row r="674" spans="1:11">
      <c r="A674" t="s">
        <v>86</v>
      </c>
      <c r="B674" t="s">
        <v>87</v>
      </c>
      <c r="C674" t="s">
        <v>20</v>
      </c>
      <c r="D674" t="s">
        <v>17</v>
      </c>
      <c r="E674">
        <v>0.125</v>
      </c>
      <c r="F674">
        <v>40</v>
      </c>
      <c r="G674">
        <v>1</v>
      </c>
      <c r="H674">
        <v>2018</v>
      </c>
      <c r="I674" t="s">
        <v>564</v>
      </c>
      <c r="J674" t="str">
        <f t="shared" si="20"/>
        <v>Preliminary</v>
      </c>
      <c r="K674">
        <f t="shared" si="21"/>
        <v>1</v>
      </c>
    </row>
    <row r="675" spans="1:11">
      <c r="A675" t="s">
        <v>306</v>
      </c>
      <c r="B675" t="s">
        <v>307</v>
      </c>
      <c r="C675" t="s">
        <v>27</v>
      </c>
      <c r="D675" t="s">
        <v>17</v>
      </c>
      <c r="E675">
        <v>0.125</v>
      </c>
      <c r="F675">
        <v>34</v>
      </c>
      <c r="G675">
        <v>2</v>
      </c>
      <c r="H675">
        <v>2018</v>
      </c>
      <c r="I675" t="s">
        <v>564</v>
      </c>
      <c r="J675" t="str">
        <f t="shared" si="20"/>
        <v>Preliminary</v>
      </c>
      <c r="K675">
        <f t="shared" si="21"/>
        <v>0</v>
      </c>
    </row>
    <row r="676" spans="1:11">
      <c r="A676" t="s">
        <v>142</v>
      </c>
      <c r="B676" t="s">
        <v>143</v>
      </c>
      <c r="C676" t="s">
        <v>24</v>
      </c>
      <c r="D676" t="s">
        <v>17</v>
      </c>
      <c r="E676">
        <v>0.125</v>
      </c>
      <c r="F676">
        <v>25</v>
      </c>
      <c r="G676">
        <v>3</v>
      </c>
      <c r="H676">
        <v>2018</v>
      </c>
      <c r="I676" t="s">
        <v>564</v>
      </c>
      <c r="J676" t="str">
        <f t="shared" si="20"/>
        <v>Preliminary</v>
      </c>
      <c r="K676">
        <f t="shared" si="21"/>
        <v>0</v>
      </c>
    </row>
    <row r="677" spans="1:11">
      <c r="A677" t="s">
        <v>181</v>
      </c>
      <c r="B677" t="s">
        <v>182</v>
      </c>
      <c r="C677" t="s">
        <v>20</v>
      </c>
      <c r="D677" t="s">
        <v>17</v>
      </c>
      <c r="E677">
        <v>0.125</v>
      </c>
      <c r="F677">
        <v>40</v>
      </c>
      <c r="G677">
        <v>1</v>
      </c>
      <c r="H677">
        <v>2018</v>
      </c>
      <c r="I677" t="s">
        <v>565</v>
      </c>
      <c r="J677" t="str">
        <f t="shared" si="20"/>
        <v>Preliminary</v>
      </c>
      <c r="K677">
        <f t="shared" si="21"/>
        <v>1</v>
      </c>
    </row>
    <row r="678" spans="1:11">
      <c r="A678" t="s">
        <v>96</v>
      </c>
      <c r="B678" t="s">
        <v>97</v>
      </c>
      <c r="C678" t="s">
        <v>74</v>
      </c>
      <c r="D678" t="s">
        <v>17</v>
      </c>
      <c r="E678">
        <v>0.125</v>
      </c>
      <c r="F678">
        <v>39</v>
      </c>
      <c r="G678">
        <v>2</v>
      </c>
      <c r="H678">
        <v>2018</v>
      </c>
      <c r="I678" t="s">
        <v>565</v>
      </c>
      <c r="J678" t="str">
        <f t="shared" si="20"/>
        <v>Preliminary</v>
      </c>
      <c r="K678">
        <f t="shared" si="21"/>
        <v>0</v>
      </c>
    </row>
    <row r="679" spans="1:11">
      <c r="A679" t="s">
        <v>481</v>
      </c>
      <c r="B679" t="s">
        <v>482</v>
      </c>
      <c r="C679" t="s">
        <v>12</v>
      </c>
      <c r="D679" t="s">
        <v>17</v>
      </c>
      <c r="E679">
        <v>0.125</v>
      </c>
      <c r="F679">
        <v>38</v>
      </c>
      <c r="G679">
        <v>3</v>
      </c>
      <c r="H679">
        <v>2018</v>
      </c>
      <c r="I679" t="s">
        <v>565</v>
      </c>
      <c r="J679" t="str">
        <f t="shared" si="20"/>
        <v>Preliminary</v>
      </c>
      <c r="K679">
        <f t="shared" si="21"/>
        <v>0</v>
      </c>
    </row>
    <row r="680" spans="1:11">
      <c r="A680" t="s">
        <v>22</v>
      </c>
      <c r="B680" t="s">
        <v>23</v>
      </c>
      <c r="C680" t="s">
        <v>24</v>
      </c>
      <c r="D680" t="s">
        <v>13</v>
      </c>
      <c r="E680">
        <v>0.125</v>
      </c>
      <c r="F680">
        <v>60</v>
      </c>
      <c r="G680">
        <v>1</v>
      </c>
      <c r="H680">
        <v>2018</v>
      </c>
      <c r="I680" t="s">
        <v>566</v>
      </c>
      <c r="J680" t="str">
        <f t="shared" si="20"/>
        <v>Preliminary</v>
      </c>
      <c r="K680">
        <f t="shared" si="21"/>
        <v>1</v>
      </c>
    </row>
    <row r="681" spans="1:11">
      <c r="A681" t="s">
        <v>263</v>
      </c>
      <c r="B681" t="s">
        <v>264</v>
      </c>
      <c r="C681" t="s">
        <v>118</v>
      </c>
      <c r="D681" t="s">
        <v>13</v>
      </c>
      <c r="E681">
        <v>0.125</v>
      </c>
      <c r="F681">
        <v>13</v>
      </c>
      <c r="G681">
        <v>2</v>
      </c>
      <c r="H681">
        <v>2018</v>
      </c>
      <c r="I681" t="s">
        <v>566</v>
      </c>
      <c r="J681" t="str">
        <f t="shared" si="20"/>
        <v>Preliminary</v>
      </c>
      <c r="K681">
        <f t="shared" si="21"/>
        <v>0</v>
      </c>
    </row>
    <row r="682" spans="1:11">
      <c r="A682" t="s">
        <v>521</v>
      </c>
      <c r="B682" t="s">
        <v>522</v>
      </c>
      <c r="C682" t="s">
        <v>195</v>
      </c>
      <c r="D682" t="s">
        <v>31</v>
      </c>
      <c r="E682">
        <v>0.125</v>
      </c>
      <c r="F682">
        <v>3</v>
      </c>
      <c r="G682">
        <v>3</v>
      </c>
      <c r="H682">
        <v>2018</v>
      </c>
      <c r="I682" t="s">
        <v>566</v>
      </c>
      <c r="J682" t="str">
        <f t="shared" si="20"/>
        <v>Preliminary</v>
      </c>
      <c r="K682">
        <f t="shared" si="21"/>
        <v>0</v>
      </c>
    </row>
    <row r="683" spans="1:11">
      <c r="A683" t="s">
        <v>10</v>
      </c>
      <c r="B683" t="s">
        <v>11</v>
      </c>
      <c r="C683" t="s">
        <v>12</v>
      </c>
      <c r="D683" t="s">
        <v>13</v>
      </c>
      <c r="E683">
        <v>0.125</v>
      </c>
      <c r="F683">
        <v>53</v>
      </c>
      <c r="G683">
        <v>1</v>
      </c>
      <c r="H683">
        <v>2018</v>
      </c>
      <c r="I683" t="s">
        <v>567</v>
      </c>
      <c r="J683" t="str">
        <f t="shared" si="20"/>
        <v>Preliminary</v>
      </c>
      <c r="K683">
        <f t="shared" si="21"/>
        <v>1</v>
      </c>
    </row>
    <row r="684" spans="1:11">
      <c r="A684" t="s">
        <v>300</v>
      </c>
      <c r="B684" t="s">
        <v>301</v>
      </c>
      <c r="C684" t="s">
        <v>20</v>
      </c>
      <c r="D684" t="s">
        <v>31</v>
      </c>
      <c r="E684">
        <v>0.125</v>
      </c>
      <c r="F684">
        <v>22</v>
      </c>
      <c r="G684">
        <v>2</v>
      </c>
      <c r="H684">
        <v>2018</v>
      </c>
      <c r="I684" t="s">
        <v>567</v>
      </c>
      <c r="J684" t="str">
        <f t="shared" si="20"/>
        <v>Preliminary</v>
      </c>
      <c r="K684">
        <f t="shared" si="21"/>
        <v>0</v>
      </c>
    </row>
    <row r="685" spans="1:11">
      <c r="A685" t="s">
        <v>490</v>
      </c>
      <c r="B685" t="s">
        <v>324</v>
      </c>
      <c r="C685" t="s">
        <v>39</v>
      </c>
      <c r="D685" t="s">
        <v>17</v>
      </c>
      <c r="E685">
        <v>0.125</v>
      </c>
      <c r="F685">
        <v>10</v>
      </c>
      <c r="G685">
        <v>3</v>
      </c>
      <c r="H685">
        <v>2018</v>
      </c>
      <c r="I685" t="s">
        <v>567</v>
      </c>
      <c r="J685" t="str">
        <f t="shared" si="20"/>
        <v>Preliminary</v>
      </c>
      <c r="K685">
        <f t="shared" si="21"/>
        <v>0</v>
      </c>
    </row>
    <row r="686" spans="1:11">
      <c r="A686" t="s">
        <v>160</v>
      </c>
      <c r="B686" t="s">
        <v>161</v>
      </c>
      <c r="C686" t="s">
        <v>24</v>
      </c>
      <c r="D686" t="s">
        <v>13</v>
      </c>
      <c r="E686">
        <v>0.125</v>
      </c>
      <c r="F686">
        <v>47</v>
      </c>
      <c r="G686">
        <v>1</v>
      </c>
      <c r="H686">
        <v>2018</v>
      </c>
      <c r="I686" t="s">
        <v>568</v>
      </c>
      <c r="J686" t="str">
        <f t="shared" si="20"/>
        <v>Preliminary</v>
      </c>
      <c r="K686">
        <f t="shared" si="21"/>
        <v>1</v>
      </c>
    </row>
    <row r="687" spans="1:11">
      <c r="A687" t="s">
        <v>57</v>
      </c>
      <c r="B687" t="s">
        <v>58</v>
      </c>
      <c r="C687" t="s">
        <v>20</v>
      </c>
      <c r="D687" t="s">
        <v>13</v>
      </c>
      <c r="E687">
        <v>0.125</v>
      </c>
      <c r="F687">
        <v>37</v>
      </c>
      <c r="G687">
        <v>2</v>
      </c>
      <c r="H687">
        <v>2018</v>
      </c>
      <c r="I687" t="s">
        <v>568</v>
      </c>
      <c r="J687" t="str">
        <f t="shared" si="20"/>
        <v>Preliminary</v>
      </c>
      <c r="K687">
        <f t="shared" si="21"/>
        <v>0</v>
      </c>
    </row>
    <row r="688" spans="1:11">
      <c r="A688" t="s">
        <v>137</v>
      </c>
      <c r="B688" t="s">
        <v>138</v>
      </c>
      <c r="C688" t="s">
        <v>27</v>
      </c>
      <c r="D688" t="s">
        <v>31</v>
      </c>
      <c r="E688">
        <v>0.125</v>
      </c>
      <c r="F688">
        <v>22</v>
      </c>
      <c r="G688">
        <v>3</v>
      </c>
      <c r="H688">
        <v>2018</v>
      </c>
      <c r="I688" t="s">
        <v>568</v>
      </c>
      <c r="J688" t="str">
        <f t="shared" si="20"/>
        <v>Preliminary</v>
      </c>
      <c r="K688">
        <f t="shared" si="21"/>
        <v>0</v>
      </c>
    </row>
    <row r="689" spans="1:11">
      <c r="A689" t="s">
        <v>511</v>
      </c>
      <c r="B689" t="s">
        <v>512</v>
      </c>
      <c r="C689" t="s">
        <v>195</v>
      </c>
      <c r="D689" t="s">
        <v>17</v>
      </c>
      <c r="E689">
        <v>0.125</v>
      </c>
      <c r="F689">
        <v>40</v>
      </c>
      <c r="G689">
        <v>1</v>
      </c>
      <c r="H689">
        <v>2018</v>
      </c>
      <c r="I689" t="s">
        <v>569</v>
      </c>
      <c r="J689" t="str">
        <f t="shared" si="20"/>
        <v>Preliminary</v>
      </c>
      <c r="K689">
        <f t="shared" si="21"/>
        <v>1</v>
      </c>
    </row>
    <row r="690" spans="1:11">
      <c r="A690" t="s">
        <v>204</v>
      </c>
      <c r="B690" t="s">
        <v>205</v>
      </c>
      <c r="C690" t="s">
        <v>12</v>
      </c>
      <c r="D690" t="s">
        <v>17</v>
      </c>
      <c r="E690">
        <v>0.125</v>
      </c>
      <c r="F690">
        <v>36</v>
      </c>
      <c r="G690">
        <v>2</v>
      </c>
      <c r="H690">
        <v>2018</v>
      </c>
      <c r="I690" t="s">
        <v>569</v>
      </c>
      <c r="J690" t="str">
        <f t="shared" si="20"/>
        <v>Preliminary</v>
      </c>
      <c r="K690">
        <f t="shared" si="21"/>
        <v>0</v>
      </c>
    </row>
    <row r="691" spans="1:11">
      <c r="A691" t="s">
        <v>111</v>
      </c>
      <c r="B691" t="s">
        <v>112</v>
      </c>
      <c r="C691" t="s">
        <v>27</v>
      </c>
      <c r="D691" t="s">
        <v>17</v>
      </c>
      <c r="E691">
        <v>0.125</v>
      </c>
      <c r="F691">
        <v>19</v>
      </c>
      <c r="G691">
        <v>3</v>
      </c>
      <c r="H691">
        <v>2018</v>
      </c>
      <c r="I691" t="s">
        <v>569</v>
      </c>
      <c r="J691" t="str">
        <f t="shared" si="20"/>
        <v>Preliminary</v>
      </c>
      <c r="K691">
        <f t="shared" si="21"/>
        <v>0</v>
      </c>
    </row>
    <row r="692" spans="1:11">
      <c r="A692" t="s">
        <v>32</v>
      </c>
      <c r="B692" t="s">
        <v>33</v>
      </c>
      <c r="C692" t="s">
        <v>20</v>
      </c>
      <c r="D692" t="s">
        <v>31</v>
      </c>
      <c r="E692">
        <v>0.125</v>
      </c>
      <c r="F692">
        <v>43</v>
      </c>
      <c r="G692">
        <v>1</v>
      </c>
      <c r="H692">
        <v>2018</v>
      </c>
      <c r="I692" t="s">
        <v>570</v>
      </c>
      <c r="J692" t="str">
        <f t="shared" si="20"/>
        <v>Preliminary</v>
      </c>
      <c r="K692">
        <f t="shared" si="21"/>
        <v>1</v>
      </c>
    </row>
    <row r="693" spans="1:11">
      <c r="A693" t="s">
        <v>52</v>
      </c>
      <c r="B693" t="s">
        <v>53</v>
      </c>
      <c r="C693" t="s">
        <v>20</v>
      </c>
      <c r="D693" t="s">
        <v>13</v>
      </c>
      <c r="E693">
        <v>0.125</v>
      </c>
      <c r="F693">
        <v>40</v>
      </c>
      <c r="G693">
        <v>2</v>
      </c>
      <c r="H693">
        <v>2018</v>
      </c>
      <c r="I693" t="s">
        <v>570</v>
      </c>
      <c r="J693" t="str">
        <f t="shared" si="20"/>
        <v>Preliminary</v>
      </c>
      <c r="K693">
        <f t="shared" si="21"/>
        <v>0</v>
      </c>
    </row>
    <row r="694" spans="1:11">
      <c r="A694" t="s">
        <v>376</v>
      </c>
      <c r="B694" t="s">
        <v>377</v>
      </c>
      <c r="C694" t="s">
        <v>20</v>
      </c>
      <c r="D694" t="s">
        <v>17</v>
      </c>
      <c r="E694">
        <v>0.125</v>
      </c>
      <c r="F694">
        <v>21</v>
      </c>
      <c r="G694">
        <v>3</v>
      </c>
      <c r="H694">
        <v>2018</v>
      </c>
      <c r="I694" t="s">
        <v>570</v>
      </c>
      <c r="J694" t="str">
        <f t="shared" si="20"/>
        <v>Preliminary</v>
      </c>
      <c r="K694">
        <f t="shared" si="21"/>
        <v>0</v>
      </c>
    </row>
    <row r="695" spans="1:11">
      <c r="A695" t="s">
        <v>35</v>
      </c>
      <c r="B695" t="s">
        <v>36</v>
      </c>
      <c r="C695" t="s">
        <v>20</v>
      </c>
      <c r="D695" t="s">
        <v>13</v>
      </c>
      <c r="E695">
        <v>0.125</v>
      </c>
      <c r="F695">
        <v>62</v>
      </c>
      <c r="G695">
        <v>1</v>
      </c>
      <c r="H695">
        <v>2018</v>
      </c>
      <c r="I695" t="s">
        <v>571</v>
      </c>
      <c r="J695" t="str">
        <f t="shared" si="20"/>
        <v>Preliminary</v>
      </c>
      <c r="K695">
        <f t="shared" si="21"/>
        <v>1</v>
      </c>
    </row>
    <row r="696" spans="1:11">
      <c r="A696" t="s">
        <v>116</v>
      </c>
      <c r="B696" t="s">
        <v>117</v>
      </c>
      <c r="C696" t="s">
        <v>118</v>
      </c>
      <c r="D696" t="s">
        <v>13</v>
      </c>
      <c r="E696">
        <v>0.125</v>
      </c>
      <c r="F696">
        <v>29</v>
      </c>
      <c r="G696">
        <v>2</v>
      </c>
      <c r="H696">
        <v>2018</v>
      </c>
      <c r="I696" t="s">
        <v>571</v>
      </c>
      <c r="J696" t="str">
        <f t="shared" si="20"/>
        <v>Preliminary</v>
      </c>
      <c r="K696">
        <f t="shared" si="21"/>
        <v>0</v>
      </c>
    </row>
    <row r="697" spans="1:11">
      <c r="A697" t="s">
        <v>572</v>
      </c>
      <c r="B697" t="s">
        <v>573</v>
      </c>
      <c r="C697" t="s">
        <v>39</v>
      </c>
      <c r="D697" t="s">
        <v>17</v>
      </c>
      <c r="E697">
        <v>0.125</v>
      </c>
      <c r="F697">
        <v>18</v>
      </c>
      <c r="G697">
        <v>3</v>
      </c>
      <c r="H697">
        <v>2018</v>
      </c>
      <c r="I697" t="s">
        <v>571</v>
      </c>
      <c r="J697" t="str">
        <f t="shared" si="20"/>
        <v>Preliminary</v>
      </c>
      <c r="K697">
        <f t="shared" si="21"/>
        <v>0</v>
      </c>
    </row>
    <row r="698" spans="1:11">
      <c r="A698" t="s">
        <v>46</v>
      </c>
      <c r="B698" t="s">
        <v>47</v>
      </c>
      <c r="C698" t="s">
        <v>12</v>
      </c>
      <c r="D698" t="s">
        <v>13</v>
      </c>
      <c r="E698">
        <v>0.125</v>
      </c>
      <c r="F698">
        <v>37</v>
      </c>
      <c r="G698">
        <v>1</v>
      </c>
      <c r="H698">
        <v>2018</v>
      </c>
      <c r="I698" t="s">
        <v>574</v>
      </c>
      <c r="J698" t="str">
        <f t="shared" si="20"/>
        <v>Preliminary</v>
      </c>
      <c r="K698">
        <f t="shared" si="21"/>
        <v>1</v>
      </c>
    </row>
    <row r="699" spans="1:11">
      <c r="A699" t="s">
        <v>219</v>
      </c>
      <c r="B699" t="s">
        <v>220</v>
      </c>
      <c r="C699" t="s">
        <v>27</v>
      </c>
      <c r="D699" t="s">
        <v>17</v>
      </c>
      <c r="E699">
        <v>0.125</v>
      </c>
      <c r="F699">
        <v>27</v>
      </c>
      <c r="G699">
        <v>2</v>
      </c>
      <c r="H699">
        <v>2018</v>
      </c>
      <c r="I699" t="s">
        <v>574</v>
      </c>
      <c r="J699" t="str">
        <f t="shared" si="20"/>
        <v>Preliminary</v>
      </c>
      <c r="K699">
        <f t="shared" si="21"/>
        <v>0</v>
      </c>
    </row>
    <row r="700" spans="1:11">
      <c r="A700" t="s">
        <v>207</v>
      </c>
      <c r="B700" t="s">
        <v>208</v>
      </c>
      <c r="C700" t="s">
        <v>20</v>
      </c>
      <c r="D700" t="s">
        <v>13</v>
      </c>
      <c r="E700">
        <v>0.125</v>
      </c>
      <c r="F700">
        <v>17</v>
      </c>
      <c r="G700">
        <v>3</v>
      </c>
      <c r="H700">
        <v>2018</v>
      </c>
      <c r="I700" t="s">
        <v>574</v>
      </c>
      <c r="J700" t="str">
        <f t="shared" si="20"/>
        <v>Preliminary</v>
      </c>
      <c r="K700">
        <f t="shared" si="21"/>
        <v>0</v>
      </c>
    </row>
    <row r="701" spans="1:11">
      <c r="A701" t="s">
        <v>525</v>
      </c>
      <c r="B701" t="s">
        <v>526</v>
      </c>
      <c r="C701" t="s">
        <v>20</v>
      </c>
      <c r="D701" t="s">
        <v>17</v>
      </c>
      <c r="E701">
        <v>0.125</v>
      </c>
      <c r="F701">
        <v>32</v>
      </c>
      <c r="G701">
        <v>1</v>
      </c>
      <c r="H701">
        <v>2018</v>
      </c>
      <c r="I701" t="s">
        <v>575</v>
      </c>
      <c r="J701" t="str">
        <f t="shared" si="20"/>
        <v>Preliminary</v>
      </c>
      <c r="K701">
        <f t="shared" si="21"/>
        <v>1</v>
      </c>
    </row>
    <row r="702" spans="1:11">
      <c r="A702" t="s">
        <v>170</v>
      </c>
      <c r="B702" t="s">
        <v>171</v>
      </c>
      <c r="C702" t="s">
        <v>50</v>
      </c>
      <c r="D702" t="s">
        <v>13</v>
      </c>
      <c r="E702">
        <v>0.125</v>
      </c>
      <c r="F702">
        <v>20</v>
      </c>
      <c r="G702">
        <v>2</v>
      </c>
      <c r="H702">
        <v>2018</v>
      </c>
      <c r="I702" t="s">
        <v>575</v>
      </c>
      <c r="J702" t="str">
        <f t="shared" si="20"/>
        <v>Preliminary</v>
      </c>
      <c r="K702">
        <f t="shared" si="21"/>
        <v>0</v>
      </c>
    </row>
    <row r="703" spans="1:11">
      <c r="A703" t="s">
        <v>576</v>
      </c>
      <c r="B703" t="s">
        <v>577</v>
      </c>
      <c r="C703" t="s">
        <v>20</v>
      </c>
      <c r="D703" t="s">
        <v>17</v>
      </c>
      <c r="E703">
        <v>0.125</v>
      </c>
      <c r="F703">
        <v>6</v>
      </c>
      <c r="G703">
        <v>3</v>
      </c>
      <c r="H703">
        <v>2018</v>
      </c>
      <c r="I703" t="s">
        <v>575</v>
      </c>
      <c r="J703" t="str">
        <f t="shared" si="20"/>
        <v>Preliminary</v>
      </c>
      <c r="K703">
        <f t="shared" si="21"/>
        <v>0</v>
      </c>
    </row>
    <row r="704" spans="1:11">
      <c r="A704" t="s">
        <v>132</v>
      </c>
      <c r="B704" t="s">
        <v>133</v>
      </c>
      <c r="C704" t="s">
        <v>39</v>
      </c>
      <c r="D704" t="s">
        <v>31</v>
      </c>
      <c r="E704">
        <v>0.125</v>
      </c>
      <c r="F704">
        <v>46</v>
      </c>
      <c r="G704">
        <v>1</v>
      </c>
      <c r="H704">
        <v>2018</v>
      </c>
      <c r="I704" t="s">
        <v>578</v>
      </c>
      <c r="J704" t="str">
        <f t="shared" si="20"/>
        <v>Preliminary</v>
      </c>
      <c r="K704">
        <f t="shared" si="21"/>
        <v>1</v>
      </c>
    </row>
    <row r="705" spans="1:11">
      <c r="A705" t="s">
        <v>127</v>
      </c>
      <c r="B705" t="s">
        <v>128</v>
      </c>
      <c r="C705" t="s">
        <v>39</v>
      </c>
      <c r="D705" t="s">
        <v>17</v>
      </c>
      <c r="E705">
        <v>0.125</v>
      </c>
      <c r="F705">
        <v>33</v>
      </c>
      <c r="G705">
        <v>2</v>
      </c>
      <c r="H705">
        <v>2018</v>
      </c>
      <c r="I705" t="s">
        <v>578</v>
      </c>
      <c r="J705" t="str">
        <f t="shared" si="20"/>
        <v>Preliminary</v>
      </c>
      <c r="K705">
        <f t="shared" si="21"/>
        <v>0</v>
      </c>
    </row>
    <row r="706" spans="1:11">
      <c r="A706" t="s">
        <v>367</v>
      </c>
      <c r="B706" t="s">
        <v>368</v>
      </c>
      <c r="C706" t="s">
        <v>27</v>
      </c>
      <c r="D706" t="s">
        <v>17</v>
      </c>
      <c r="E706">
        <v>0.125</v>
      </c>
      <c r="F706">
        <v>13</v>
      </c>
      <c r="G706">
        <v>3</v>
      </c>
      <c r="H706">
        <v>2018</v>
      </c>
      <c r="I706" t="s">
        <v>578</v>
      </c>
      <c r="J706" t="str">
        <f t="shared" si="20"/>
        <v>Preliminary</v>
      </c>
      <c r="K706">
        <f t="shared" si="21"/>
        <v>0</v>
      </c>
    </row>
    <row r="707" spans="1:11">
      <c r="A707" t="s">
        <v>145</v>
      </c>
      <c r="B707" t="s">
        <v>146</v>
      </c>
      <c r="C707" t="s">
        <v>24</v>
      </c>
      <c r="D707" t="s">
        <v>31</v>
      </c>
      <c r="E707">
        <v>0.125</v>
      </c>
      <c r="F707">
        <v>33</v>
      </c>
      <c r="G707">
        <v>1</v>
      </c>
      <c r="H707">
        <v>2018</v>
      </c>
      <c r="I707" t="s">
        <v>579</v>
      </c>
      <c r="J707" t="str">
        <f t="shared" ref="J707:J770" si="22">IF(E707=1,"Final",IF(E707=0.5,"Semifinal",IF(E707=0.25,"Quarterfinal",IF(E707=0.125,"Preliminary","Unknown"))))</f>
        <v>Preliminary</v>
      </c>
      <c r="K707">
        <f t="shared" ref="K707:K770" si="23">IF(G707=1,1,0)</f>
        <v>1</v>
      </c>
    </row>
    <row r="708" spans="1:11">
      <c r="A708" t="s">
        <v>485</v>
      </c>
      <c r="B708" t="s">
        <v>486</v>
      </c>
      <c r="C708" t="s">
        <v>39</v>
      </c>
      <c r="D708" t="s">
        <v>17</v>
      </c>
      <c r="E708">
        <v>0.125</v>
      </c>
      <c r="F708">
        <v>31</v>
      </c>
      <c r="G708">
        <v>2</v>
      </c>
      <c r="H708">
        <v>2018</v>
      </c>
      <c r="I708" t="s">
        <v>579</v>
      </c>
      <c r="J708" t="str">
        <f t="shared" si="22"/>
        <v>Preliminary</v>
      </c>
      <c r="K708">
        <f t="shared" si="23"/>
        <v>0</v>
      </c>
    </row>
    <row r="709" spans="1:11">
      <c r="A709" t="s">
        <v>487</v>
      </c>
      <c r="B709" t="s">
        <v>488</v>
      </c>
      <c r="C709" t="s">
        <v>24</v>
      </c>
      <c r="D709" t="s">
        <v>17</v>
      </c>
      <c r="E709">
        <v>0.125</v>
      </c>
      <c r="F709">
        <v>30</v>
      </c>
      <c r="G709">
        <v>3</v>
      </c>
      <c r="H709">
        <v>2018</v>
      </c>
      <c r="I709" t="s">
        <v>579</v>
      </c>
      <c r="J709" t="str">
        <f t="shared" si="22"/>
        <v>Preliminary</v>
      </c>
      <c r="K709">
        <f t="shared" si="23"/>
        <v>0</v>
      </c>
    </row>
    <row r="710" spans="1:11">
      <c r="A710" t="s">
        <v>356</v>
      </c>
      <c r="B710" t="s">
        <v>357</v>
      </c>
      <c r="C710" t="s">
        <v>12</v>
      </c>
      <c r="D710" t="s">
        <v>17</v>
      </c>
      <c r="E710">
        <v>0.125</v>
      </c>
      <c r="F710">
        <v>26</v>
      </c>
      <c r="G710">
        <v>1</v>
      </c>
      <c r="H710">
        <v>2018</v>
      </c>
      <c r="I710" t="s">
        <v>580</v>
      </c>
      <c r="J710" t="str">
        <f t="shared" si="22"/>
        <v>Preliminary</v>
      </c>
      <c r="K710">
        <f t="shared" si="23"/>
        <v>1</v>
      </c>
    </row>
    <row r="711" spans="1:11">
      <c r="A711" t="s">
        <v>387</v>
      </c>
      <c r="B711" t="s">
        <v>388</v>
      </c>
      <c r="C711" t="s">
        <v>50</v>
      </c>
      <c r="D711" t="s">
        <v>17</v>
      </c>
      <c r="E711">
        <v>0.125</v>
      </c>
      <c r="F711">
        <v>23</v>
      </c>
      <c r="G711">
        <v>2</v>
      </c>
      <c r="H711">
        <v>2018</v>
      </c>
      <c r="I711" t="s">
        <v>580</v>
      </c>
      <c r="J711" t="str">
        <f t="shared" si="22"/>
        <v>Preliminary</v>
      </c>
      <c r="K711">
        <f t="shared" si="23"/>
        <v>0</v>
      </c>
    </row>
    <row r="712" spans="1:11">
      <c r="A712" t="s">
        <v>186</v>
      </c>
      <c r="B712" t="s">
        <v>187</v>
      </c>
      <c r="C712" t="s">
        <v>12</v>
      </c>
      <c r="D712" t="s">
        <v>17</v>
      </c>
      <c r="E712">
        <v>0.125</v>
      </c>
      <c r="F712">
        <v>19</v>
      </c>
      <c r="G712">
        <v>3</v>
      </c>
      <c r="H712">
        <v>2018</v>
      </c>
      <c r="I712" t="s">
        <v>580</v>
      </c>
      <c r="J712" t="str">
        <f t="shared" si="22"/>
        <v>Preliminary</v>
      </c>
      <c r="K712">
        <f t="shared" si="23"/>
        <v>0</v>
      </c>
    </row>
    <row r="713" spans="1:11">
      <c r="A713" t="s">
        <v>140</v>
      </c>
      <c r="B713" t="s">
        <v>141</v>
      </c>
      <c r="C713" t="s">
        <v>24</v>
      </c>
      <c r="D713" t="s">
        <v>17</v>
      </c>
      <c r="E713">
        <v>0.125</v>
      </c>
      <c r="F713">
        <v>57</v>
      </c>
      <c r="G713">
        <v>1</v>
      </c>
      <c r="H713">
        <v>2018</v>
      </c>
      <c r="I713" t="s">
        <v>581</v>
      </c>
      <c r="J713" t="str">
        <f t="shared" si="22"/>
        <v>Preliminary</v>
      </c>
      <c r="K713">
        <f t="shared" si="23"/>
        <v>1</v>
      </c>
    </row>
    <row r="714" spans="1:11">
      <c r="A714" t="s">
        <v>152</v>
      </c>
      <c r="B714" t="s">
        <v>153</v>
      </c>
      <c r="C714" t="s">
        <v>24</v>
      </c>
      <c r="D714" t="s">
        <v>17</v>
      </c>
      <c r="E714">
        <v>0.125</v>
      </c>
      <c r="F714">
        <v>43</v>
      </c>
      <c r="G714">
        <v>2</v>
      </c>
      <c r="H714">
        <v>2018</v>
      </c>
      <c r="I714" t="s">
        <v>581</v>
      </c>
      <c r="J714" t="str">
        <f t="shared" si="22"/>
        <v>Preliminary</v>
      </c>
      <c r="K714">
        <f t="shared" si="23"/>
        <v>0</v>
      </c>
    </row>
    <row r="715" spans="1:11">
      <c r="A715" t="s">
        <v>582</v>
      </c>
      <c r="B715" t="s">
        <v>583</v>
      </c>
      <c r="C715" t="s">
        <v>27</v>
      </c>
      <c r="D715" t="s">
        <v>13</v>
      </c>
      <c r="E715">
        <v>0.125</v>
      </c>
      <c r="F715">
        <v>28</v>
      </c>
      <c r="G715">
        <v>3</v>
      </c>
      <c r="H715">
        <v>2018</v>
      </c>
      <c r="I715" t="s">
        <v>581</v>
      </c>
      <c r="J715" t="str">
        <f t="shared" si="22"/>
        <v>Preliminary</v>
      </c>
      <c r="K715">
        <f t="shared" si="23"/>
        <v>0</v>
      </c>
    </row>
    <row r="716" spans="1:11">
      <c r="A716" t="s">
        <v>199</v>
      </c>
      <c r="B716" t="s">
        <v>200</v>
      </c>
      <c r="C716" t="s">
        <v>39</v>
      </c>
      <c r="D716" t="s">
        <v>31</v>
      </c>
      <c r="E716">
        <v>0.125</v>
      </c>
      <c r="F716">
        <v>45</v>
      </c>
      <c r="G716">
        <v>1</v>
      </c>
      <c r="H716">
        <v>2018</v>
      </c>
      <c r="I716" t="s">
        <v>584</v>
      </c>
      <c r="J716" t="str">
        <f t="shared" si="22"/>
        <v>Preliminary</v>
      </c>
      <c r="K716">
        <f t="shared" si="23"/>
        <v>1</v>
      </c>
    </row>
    <row r="717" spans="1:11">
      <c r="A717" t="s">
        <v>412</v>
      </c>
      <c r="B717" t="s">
        <v>413</v>
      </c>
      <c r="C717" t="s">
        <v>20</v>
      </c>
      <c r="D717" t="s">
        <v>17</v>
      </c>
      <c r="E717">
        <v>0.125</v>
      </c>
      <c r="F717">
        <v>14</v>
      </c>
      <c r="G717">
        <v>2</v>
      </c>
      <c r="H717">
        <v>2018</v>
      </c>
      <c r="I717" t="s">
        <v>584</v>
      </c>
      <c r="J717" t="str">
        <f t="shared" si="22"/>
        <v>Preliminary</v>
      </c>
      <c r="K717">
        <f t="shared" si="23"/>
        <v>0</v>
      </c>
    </row>
    <row r="718" spans="1:11">
      <c r="A718" t="s">
        <v>162</v>
      </c>
      <c r="B718" t="s">
        <v>163</v>
      </c>
      <c r="C718" t="s">
        <v>39</v>
      </c>
      <c r="D718" t="s">
        <v>17</v>
      </c>
      <c r="E718">
        <v>0.125</v>
      </c>
      <c r="F718">
        <v>12</v>
      </c>
      <c r="G718">
        <v>3</v>
      </c>
      <c r="H718">
        <v>2018</v>
      </c>
      <c r="I718" t="s">
        <v>584</v>
      </c>
      <c r="J718" t="str">
        <f t="shared" si="22"/>
        <v>Preliminary</v>
      </c>
      <c r="K718">
        <f t="shared" si="23"/>
        <v>0</v>
      </c>
    </row>
    <row r="719" spans="1:11">
      <c r="A719" t="s">
        <v>165</v>
      </c>
      <c r="B719" t="s">
        <v>166</v>
      </c>
      <c r="C719" t="s">
        <v>24</v>
      </c>
      <c r="D719" t="s">
        <v>17</v>
      </c>
      <c r="E719">
        <v>0.125</v>
      </c>
      <c r="F719">
        <v>45</v>
      </c>
      <c r="G719">
        <v>1</v>
      </c>
      <c r="H719">
        <v>2018</v>
      </c>
      <c r="I719" t="s">
        <v>585</v>
      </c>
      <c r="J719" t="str">
        <f t="shared" si="22"/>
        <v>Preliminary</v>
      </c>
      <c r="K719">
        <f t="shared" si="23"/>
        <v>1</v>
      </c>
    </row>
    <row r="720" spans="1:11">
      <c r="A720" t="s">
        <v>302</v>
      </c>
      <c r="B720" t="s">
        <v>303</v>
      </c>
      <c r="C720" t="s">
        <v>195</v>
      </c>
      <c r="D720" t="s">
        <v>17</v>
      </c>
      <c r="E720">
        <v>0.125</v>
      </c>
      <c r="F720">
        <v>31</v>
      </c>
      <c r="G720">
        <v>2</v>
      </c>
      <c r="H720">
        <v>2018</v>
      </c>
      <c r="I720" t="s">
        <v>585</v>
      </c>
      <c r="J720" t="str">
        <f t="shared" si="22"/>
        <v>Preliminary</v>
      </c>
      <c r="K720">
        <f t="shared" si="23"/>
        <v>0</v>
      </c>
    </row>
    <row r="721" spans="1:11">
      <c r="A721" t="s">
        <v>54</v>
      </c>
      <c r="B721" t="s">
        <v>55</v>
      </c>
      <c r="C721" t="s">
        <v>20</v>
      </c>
      <c r="D721" t="s">
        <v>17</v>
      </c>
      <c r="E721">
        <v>0.125</v>
      </c>
      <c r="F721">
        <v>25</v>
      </c>
      <c r="G721">
        <v>3</v>
      </c>
      <c r="H721">
        <v>2018</v>
      </c>
      <c r="I721" t="s">
        <v>585</v>
      </c>
      <c r="J721" t="str">
        <f t="shared" si="22"/>
        <v>Preliminary</v>
      </c>
      <c r="K721">
        <f t="shared" si="23"/>
        <v>0</v>
      </c>
    </row>
    <row r="722" spans="1:11">
      <c r="A722" t="s">
        <v>35</v>
      </c>
      <c r="B722" t="s">
        <v>36</v>
      </c>
      <c r="C722" t="s">
        <v>20</v>
      </c>
      <c r="D722" t="s">
        <v>13</v>
      </c>
      <c r="E722">
        <v>1</v>
      </c>
      <c r="F722">
        <v>53</v>
      </c>
      <c r="G722">
        <v>1</v>
      </c>
      <c r="H722">
        <v>2017</v>
      </c>
      <c r="I722" t="s">
        <v>586</v>
      </c>
      <c r="J722" t="str">
        <f t="shared" si="22"/>
        <v>Final</v>
      </c>
      <c r="K722">
        <f t="shared" si="23"/>
        <v>1</v>
      </c>
    </row>
    <row r="723" spans="1:11">
      <c r="A723" t="s">
        <v>178</v>
      </c>
      <c r="B723" t="s">
        <v>179</v>
      </c>
      <c r="C723" t="s">
        <v>12</v>
      </c>
      <c r="D723" t="s">
        <v>13</v>
      </c>
      <c r="E723">
        <v>1</v>
      </c>
      <c r="F723">
        <v>51</v>
      </c>
      <c r="G723">
        <v>2</v>
      </c>
      <c r="H723">
        <v>2017</v>
      </c>
      <c r="I723" t="s">
        <v>586</v>
      </c>
      <c r="J723" t="str">
        <f t="shared" si="22"/>
        <v>Final</v>
      </c>
      <c r="K723">
        <f t="shared" si="23"/>
        <v>0</v>
      </c>
    </row>
    <row r="724" spans="1:11">
      <c r="A724" t="s">
        <v>160</v>
      </c>
      <c r="B724" t="s">
        <v>161</v>
      </c>
      <c r="C724" t="s">
        <v>24</v>
      </c>
      <c r="D724" t="s">
        <v>13</v>
      </c>
      <c r="E724">
        <v>1</v>
      </c>
      <c r="F724">
        <v>31</v>
      </c>
      <c r="G724">
        <v>3</v>
      </c>
      <c r="H724">
        <v>2017</v>
      </c>
      <c r="I724" t="s">
        <v>586</v>
      </c>
      <c r="J724" t="str">
        <f t="shared" si="22"/>
        <v>Final</v>
      </c>
      <c r="K724">
        <f t="shared" si="23"/>
        <v>0</v>
      </c>
    </row>
    <row r="725" spans="1:11">
      <c r="A725" t="s">
        <v>35</v>
      </c>
      <c r="B725" t="s">
        <v>36</v>
      </c>
      <c r="C725" t="s">
        <v>20</v>
      </c>
      <c r="D725" t="s">
        <v>13</v>
      </c>
      <c r="E725">
        <v>0.5</v>
      </c>
      <c r="F725">
        <v>55</v>
      </c>
      <c r="G725">
        <v>1</v>
      </c>
      <c r="H725">
        <v>2017</v>
      </c>
      <c r="I725" t="s">
        <v>587</v>
      </c>
      <c r="J725" t="str">
        <f t="shared" si="22"/>
        <v>Semifinal</v>
      </c>
      <c r="K725">
        <f t="shared" si="23"/>
        <v>1</v>
      </c>
    </row>
    <row r="726" spans="1:11">
      <c r="A726" t="s">
        <v>22</v>
      </c>
      <c r="B726" t="s">
        <v>23</v>
      </c>
      <c r="C726" t="s">
        <v>24</v>
      </c>
      <c r="D726" t="s">
        <v>13</v>
      </c>
      <c r="E726">
        <v>0.5</v>
      </c>
      <c r="F726">
        <v>49</v>
      </c>
      <c r="G726">
        <v>2</v>
      </c>
      <c r="H726">
        <v>2017</v>
      </c>
      <c r="I726" t="s">
        <v>587</v>
      </c>
      <c r="J726" t="str">
        <f t="shared" si="22"/>
        <v>Semifinal</v>
      </c>
      <c r="K726">
        <f t="shared" si="23"/>
        <v>0</v>
      </c>
    </row>
    <row r="727" spans="1:11">
      <c r="A727" t="s">
        <v>41</v>
      </c>
      <c r="B727" t="s">
        <v>42</v>
      </c>
      <c r="C727" t="s">
        <v>27</v>
      </c>
      <c r="D727" t="s">
        <v>17</v>
      </c>
      <c r="E727">
        <v>0.5</v>
      </c>
      <c r="F727">
        <v>43</v>
      </c>
      <c r="G727">
        <v>3</v>
      </c>
      <c r="H727">
        <v>2017</v>
      </c>
      <c r="I727" t="s">
        <v>587</v>
      </c>
      <c r="J727" t="str">
        <f t="shared" si="22"/>
        <v>Semifinal</v>
      </c>
      <c r="K727">
        <f t="shared" si="23"/>
        <v>0</v>
      </c>
    </row>
    <row r="728" spans="1:11">
      <c r="A728" t="s">
        <v>178</v>
      </c>
      <c r="B728" t="s">
        <v>179</v>
      </c>
      <c r="C728" t="s">
        <v>12</v>
      </c>
      <c r="D728" t="s">
        <v>13</v>
      </c>
      <c r="E728">
        <v>0.5</v>
      </c>
      <c r="F728">
        <v>52</v>
      </c>
      <c r="G728">
        <v>1</v>
      </c>
      <c r="H728">
        <v>2017</v>
      </c>
      <c r="I728" t="s">
        <v>588</v>
      </c>
      <c r="J728" t="str">
        <f t="shared" si="22"/>
        <v>Semifinal</v>
      </c>
      <c r="K728">
        <f t="shared" si="23"/>
        <v>1</v>
      </c>
    </row>
    <row r="729" spans="1:11">
      <c r="A729" t="s">
        <v>10</v>
      </c>
      <c r="B729" t="s">
        <v>11</v>
      </c>
      <c r="C729" t="s">
        <v>12</v>
      </c>
      <c r="D729" t="s">
        <v>13</v>
      </c>
      <c r="E729">
        <v>0.5</v>
      </c>
      <c r="F729">
        <v>39</v>
      </c>
      <c r="G729">
        <v>2</v>
      </c>
      <c r="H729">
        <v>2017</v>
      </c>
      <c r="I729" t="s">
        <v>588</v>
      </c>
      <c r="J729" t="str">
        <f t="shared" si="22"/>
        <v>Semifinal</v>
      </c>
      <c r="K729">
        <f t="shared" si="23"/>
        <v>0</v>
      </c>
    </row>
    <row r="730" spans="1:11">
      <c r="A730" t="s">
        <v>52</v>
      </c>
      <c r="B730" t="s">
        <v>53</v>
      </c>
      <c r="C730" t="s">
        <v>20</v>
      </c>
      <c r="D730" t="s">
        <v>13</v>
      </c>
      <c r="E730">
        <v>0.5</v>
      </c>
      <c r="F730">
        <v>28</v>
      </c>
      <c r="G730">
        <v>3</v>
      </c>
      <c r="H730">
        <v>2017</v>
      </c>
      <c r="I730" t="s">
        <v>588</v>
      </c>
      <c r="J730" t="str">
        <f t="shared" si="22"/>
        <v>Semifinal</v>
      </c>
      <c r="K730">
        <f t="shared" si="23"/>
        <v>0</v>
      </c>
    </row>
    <row r="731" spans="1:11">
      <c r="A731" t="s">
        <v>160</v>
      </c>
      <c r="B731" t="s">
        <v>161</v>
      </c>
      <c r="C731" t="s">
        <v>24</v>
      </c>
      <c r="D731" t="s">
        <v>13</v>
      </c>
      <c r="E731">
        <v>0.5</v>
      </c>
      <c r="F731">
        <v>36</v>
      </c>
      <c r="G731">
        <v>1</v>
      </c>
      <c r="H731">
        <v>2017</v>
      </c>
      <c r="I731" t="s">
        <v>589</v>
      </c>
      <c r="J731" t="str">
        <f t="shared" si="22"/>
        <v>Semifinal</v>
      </c>
      <c r="K731">
        <f t="shared" si="23"/>
        <v>1</v>
      </c>
    </row>
    <row r="732" spans="1:11">
      <c r="A732" t="s">
        <v>165</v>
      </c>
      <c r="B732" t="s">
        <v>166</v>
      </c>
      <c r="C732" t="s">
        <v>24</v>
      </c>
      <c r="D732" t="s">
        <v>17</v>
      </c>
      <c r="E732">
        <v>0.5</v>
      </c>
      <c r="F732">
        <v>35</v>
      </c>
      <c r="G732">
        <v>2</v>
      </c>
      <c r="H732">
        <v>2017</v>
      </c>
      <c r="I732" t="s">
        <v>589</v>
      </c>
      <c r="J732" t="str">
        <f t="shared" si="22"/>
        <v>Semifinal</v>
      </c>
      <c r="K732">
        <f t="shared" si="23"/>
        <v>0</v>
      </c>
    </row>
    <row r="733" spans="1:11">
      <c r="A733" t="s">
        <v>140</v>
      </c>
      <c r="B733" t="s">
        <v>141</v>
      </c>
      <c r="C733" t="s">
        <v>24</v>
      </c>
      <c r="D733" t="s">
        <v>17</v>
      </c>
      <c r="E733">
        <v>0.5</v>
      </c>
      <c r="F733">
        <v>27</v>
      </c>
      <c r="G733">
        <v>3</v>
      </c>
      <c r="H733">
        <v>2017</v>
      </c>
      <c r="I733" t="s">
        <v>589</v>
      </c>
      <c r="J733" t="str">
        <f t="shared" si="22"/>
        <v>Semifinal</v>
      </c>
      <c r="K733">
        <f t="shared" si="23"/>
        <v>0</v>
      </c>
    </row>
    <row r="734" spans="1:11">
      <c r="A734" t="s">
        <v>35</v>
      </c>
      <c r="B734" t="s">
        <v>36</v>
      </c>
      <c r="C734" t="s">
        <v>20</v>
      </c>
      <c r="D734" t="s">
        <v>13</v>
      </c>
      <c r="E734">
        <v>0.25</v>
      </c>
      <c r="F734">
        <v>82</v>
      </c>
      <c r="G734">
        <v>1</v>
      </c>
      <c r="H734">
        <v>2017</v>
      </c>
      <c r="I734" t="s">
        <v>590</v>
      </c>
      <c r="J734" t="str">
        <f t="shared" si="22"/>
        <v>Quarterfinal</v>
      </c>
      <c r="K734">
        <f t="shared" si="23"/>
        <v>1</v>
      </c>
    </row>
    <row r="735" spans="1:11">
      <c r="A735" t="s">
        <v>48</v>
      </c>
      <c r="B735" t="s">
        <v>49</v>
      </c>
      <c r="C735" t="s">
        <v>50</v>
      </c>
      <c r="D735" t="s">
        <v>13</v>
      </c>
      <c r="E735">
        <v>0.25</v>
      </c>
      <c r="F735">
        <v>39</v>
      </c>
      <c r="G735">
        <v>2</v>
      </c>
      <c r="H735">
        <v>2017</v>
      </c>
      <c r="I735" t="s">
        <v>590</v>
      </c>
      <c r="J735" t="str">
        <f t="shared" si="22"/>
        <v>Quarterfinal</v>
      </c>
      <c r="K735">
        <f t="shared" si="23"/>
        <v>0</v>
      </c>
    </row>
    <row r="736" spans="1:11">
      <c r="A736" t="s">
        <v>576</v>
      </c>
      <c r="B736" t="s">
        <v>577</v>
      </c>
      <c r="C736" t="s">
        <v>20</v>
      </c>
      <c r="D736" t="s">
        <v>17</v>
      </c>
      <c r="E736">
        <v>0.25</v>
      </c>
      <c r="F736">
        <v>31</v>
      </c>
      <c r="G736">
        <v>3</v>
      </c>
      <c r="H736">
        <v>2017</v>
      </c>
      <c r="I736" t="s">
        <v>590</v>
      </c>
      <c r="J736" t="str">
        <f t="shared" si="22"/>
        <v>Quarterfinal</v>
      </c>
      <c r="K736">
        <f t="shared" si="23"/>
        <v>0</v>
      </c>
    </row>
    <row r="737" spans="1:11">
      <c r="A737" t="s">
        <v>22</v>
      </c>
      <c r="B737" t="s">
        <v>23</v>
      </c>
      <c r="C737" t="s">
        <v>24</v>
      </c>
      <c r="D737" t="s">
        <v>13</v>
      </c>
      <c r="E737">
        <v>0.25</v>
      </c>
      <c r="F737">
        <v>54</v>
      </c>
      <c r="G737">
        <v>1</v>
      </c>
      <c r="H737">
        <v>2017</v>
      </c>
      <c r="I737" t="s">
        <v>591</v>
      </c>
      <c r="J737" t="str">
        <f t="shared" si="22"/>
        <v>Quarterfinal</v>
      </c>
      <c r="K737">
        <f t="shared" si="23"/>
        <v>1</v>
      </c>
    </row>
    <row r="738" spans="1:11">
      <c r="A738" t="s">
        <v>142</v>
      </c>
      <c r="B738" t="s">
        <v>143</v>
      </c>
      <c r="C738" t="s">
        <v>24</v>
      </c>
      <c r="D738" t="s">
        <v>17</v>
      </c>
      <c r="E738">
        <v>0.25</v>
      </c>
      <c r="F738">
        <v>29</v>
      </c>
      <c r="G738">
        <v>2</v>
      </c>
      <c r="H738">
        <v>2017</v>
      </c>
      <c r="I738" t="s">
        <v>591</v>
      </c>
      <c r="J738" t="str">
        <f t="shared" si="22"/>
        <v>Quarterfinal</v>
      </c>
      <c r="K738">
        <f t="shared" si="23"/>
        <v>0</v>
      </c>
    </row>
    <row r="739" spans="1:11">
      <c r="A739" t="s">
        <v>111</v>
      </c>
      <c r="B739" t="s">
        <v>112</v>
      </c>
      <c r="C739" t="s">
        <v>27</v>
      </c>
      <c r="D739" t="s">
        <v>17</v>
      </c>
      <c r="E739">
        <v>0.25</v>
      </c>
      <c r="F739">
        <v>26</v>
      </c>
      <c r="G739">
        <v>3</v>
      </c>
      <c r="H739">
        <v>2017</v>
      </c>
      <c r="I739" t="s">
        <v>591</v>
      </c>
      <c r="J739" t="str">
        <f t="shared" si="22"/>
        <v>Quarterfinal</v>
      </c>
      <c r="K739">
        <f t="shared" si="23"/>
        <v>0</v>
      </c>
    </row>
    <row r="740" spans="1:11">
      <c r="A740" t="s">
        <v>41</v>
      </c>
      <c r="B740" t="s">
        <v>42</v>
      </c>
      <c r="C740" t="s">
        <v>27</v>
      </c>
      <c r="D740" t="s">
        <v>17</v>
      </c>
      <c r="E740">
        <v>0.25</v>
      </c>
      <c r="F740">
        <v>56</v>
      </c>
      <c r="G740">
        <v>1</v>
      </c>
      <c r="H740">
        <v>2017</v>
      </c>
      <c r="I740" t="s">
        <v>592</v>
      </c>
      <c r="J740" t="str">
        <f t="shared" si="22"/>
        <v>Quarterfinal</v>
      </c>
      <c r="K740">
        <f t="shared" si="23"/>
        <v>1</v>
      </c>
    </row>
    <row r="741" spans="1:11">
      <c r="A741" t="s">
        <v>257</v>
      </c>
      <c r="B741" t="s">
        <v>258</v>
      </c>
      <c r="C741" t="s">
        <v>12</v>
      </c>
      <c r="D741" t="s">
        <v>17</v>
      </c>
      <c r="E741">
        <v>0.25</v>
      </c>
      <c r="F741">
        <v>38</v>
      </c>
      <c r="G741">
        <v>2</v>
      </c>
      <c r="H741">
        <v>2017</v>
      </c>
      <c r="I741" t="s">
        <v>592</v>
      </c>
      <c r="J741" t="str">
        <f t="shared" si="22"/>
        <v>Quarterfinal</v>
      </c>
      <c r="K741">
        <f t="shared" si="23"/>
        <v>0</v>
      </c>
    </row>
    <row r="742" spans="1:11">
      <c r="A742" t="s">
        <v>145</v>
      </c>
      <c r="B742" t="s">
        <v>146</v>
      </c>
      <c r="C742" t="s">
        <v>24</v>
      </c>
      <c r="D742" t="s">
        <v>31</v>
      </c>
      <c r="E742">
        <v>0.25</v>
      </c>
      <c r="F742">
        <v>21</v>
      </c>
      <c r="G742">
        <v>3</v>
      </c>
      <c r="H742">
        <v>2017</v>
      </c>
      <c r="I742" t="s">
        <v>592</v>
      </c>
      <c r="J742" t="str">
        <f t="shared" si="22"/>
        <v>Quarterfinal</v>
      </c>
      <c r="K742">
        <f t="shared" si="23"/>
        <v>0</v>
      </c>
    </row>
    <row r="743" spans="1:11">
      <c r="A743" t="s">
        <v>178</v>
      </c>
      <c r="B743" t="s">
        <v>179</v>
      </c>
      <c r="C743" t="s">
        <v>12</v>
      </c>
      <c r="D743" t="s">
        <v>13</v>
      </c>
      <c r="E743">
        <v>0.25</v>
      </c>
      <c r="F743">
        <v>42</v>
      </c>
      <c r="G743">
        <v>1</v>
      </c>
      <c r="H743">
        <v>2017</v>
      </c>
      <c r="I743" t="s">
        <v>593</v>
      </c>
      <c r="J743" t="str">
        <f t="shared" si="22"/>
        <v>Quarterfinal</v>
      </c>
      <c r="K743">
        <f t="shared" si="23"/>
        <v>1</v>
      </c>
    </row>
    <row r="744" spans="1:11">
      <c r="A744" t="s">
        <v>127</v>
      </c>
      <c r="B744" t="s">
        <v>128</v>
      </c>
      <c r="C744" t="s">
        <v>39</v>
      </c>
      <c r="D744" t="s">
        <v>17</v>
      </c>
      <c r="E744">
        <v>0.25</v>
      </c>
      <c r="F744">
        <v>40</v>
      </c>
      <c r="G744">
        <v>2</v>
      </c>
      <c r="H744">
        <v>2017</v>
      </c>
      <c r="I744" t="s">
        <v>593</v>
      </c>
      <c r="J744" t="str">
        <f t="shared" si="22"/>
        <v>Quarterfinal</v>
      </c>
      <c r="K744">
        <f t="shared" si="23"/>
        <v>0</v>
      </c>
    </row>
    <row r="745" spans="1:11">
      <c r="A745" t="s">
        <v>207</v>
      </c>
      <c r="B745" t="s">
        <v>208</v>
      </c>
      <c r="C745" t="s">
        <v>20</v>
      </c>
      <c r="D745" t="s">
        <v>13</v>
      </c>
      <c r="E745">
        <v>0.25</v>
      </c>
      <c r="F745">
        <v>35</v>
      </c>
      <c r="G745">
        <v>3</v>
      </c>
      <c r="H745">
        <v>2017</v>
      </c>
      <c r="I745" t="s">
        <v>593</v>
      </c>
      <c r="J745" t="str">
        <f t="shared" si="22"/>
        <v>Quarterfinal</v>
      </c>
      <c r="K745">
        <f t="shared" si="23"/>
        <v>0</v>
      </c>
    </row>
    <row r="746" spans="1:11">
      <c r="A746" t="s">
        <v>10</v>
      </c>
      <c r="B746" t="s">
        <v>11</v>
      </c>
      <c r="C746" t="s">
        <v>12</v>
      </c>
      <c r="D746" t="s">
        <v>13</v>
      </c>
      <c r="E746">
        <v>0.25</v>
      </c>
      <c r="F746">
        <v>53</v>
      </c>
      <c r="G746">
        <v>1</v>
      </c>
      <c r="H746">
        <v>2017</v>
      </c>
      <c r="I746" t="s">
        <v>594</v>
      </c>
      <c r="J746" t="str">
        <f t="shared" si="22"/>
        <v>Quarterfinal</v>
      </c>
      <c r="K746">
        <f t="shared" si="23"/>
        <v>1</v>
      </c>
    </row>
    <row r="747" spans="1:11">
      <c r="A747" t="s">
        <v>25</v>
      </c>
      <c r="B747" t="s">
        <v>26</v>
      </c>
      <c r="C747" t="s">
        <v>27</v>
      </c>
      <c r="D747" t="s">
        <v>17</v>
      </c>
      <c r="E747">
        <v>0.25</v>
      </c>
      <c r="F747">
        <v>44</v>
      </c>
      <c r="G747">
        <v>2</v>
      </c>
      <c r="H747">
        <v>2017</v>
      </c>
      <c r="I747" t="s">
        <v>594</v>
      </c>
      <c r="J747" t="str">
        <f t="shared" si="22"/>
        <v>Quarterfinal</v>
      </c>
      <c r="K747">
        <f t="shared" si="23"/>
        <v>0</v>
      </c>
    </row>
    <row r="748" spans="1:11">
      <c r="A748" t="s">
        <v>543</v>
      </c>
      <c r="B748" t="s">
        <v>544</v>
      </c>
      <c r="C748" t="s">
        <v>20</v>
      </c>
      <c r="D748" t="s">
        <v>17</v>
      </c>
      <c r="E748">
        <v>0.25</v>
      </c>
      <c r="F748">
        <v>31</v>
      </c>
      <c r="G748">
        <v>3</v>
      </c>
      <c r="H748">
        <v>2017</v>
      </c>
      <c r="I748" t="s">
        <v>594</v>
      </c>
      <c r="J748" t="str">
        <f t="shared" si="22"/>
        <v>Quarterfinal</v>
      </c>
      <c r="K748">
        <f t="shared" si="23"/>
        <v>0</v>
      </c>
    </row>
    <row r="749" spans="1:11">
      <c r="A749" t="s">
        <v>52</v>
      </c>
      <c r="B749" t="s">
        <v>53</v>
      </c>
      <c r="C749" t="s">
        <v>20</v>
      </c>
      <c r="D749" t="s">
        <v>13</v>
      </c>
      <c r="E749">
        <v>0.25</v>
      </c>
      <c r="F749">
        <v>43</v>
      </c>
      <c r="G749">
        <v>1</v>
      </c>
      <c r="H749">
        <v>2017</v>
      </c>
      <c r="I749" t="s">
        <v>595</v>
      </c>
      <c r="J749" t="str">
        <f t="shared" si="22"/>
        <v>Quarterfinal</v>
      </c>
      <c r="K749">
        <f t="shared" si="23"/>
        <v>1</v>
      </c>
    </row>
    <row r="750" spans="1:11">
      <c r="A750" t="s">
        <v>191</v>
      </c>
      <c r="B750" t="s">
        <v>192</v>
      </c>
      <c r="C750" t="s">
        <v>20</v>
      </c>
      <c r="D750" t="s">
        <v>17</v>
      </c>
      <c r="E750">
        <v>0.25</v>
      </c>
      <c r="F750">
        <v>39</v>
      </c>
      <c r="G750">
        <v>2</v>
      </c>
      <c r="H750">
        <v>2017</v>
      </c>
      <c r="I750" t="s">
        <v>595</v>
      </c>
      <c r="J750" t="str">
        <f t="shared" si="22"/>
        <v>Quarterfinal</v>
      </c>
      <c r="K750">
        <f t="shared" si="23"/>
        <v>0</v>
      </c>
    </row>
    <row r="751" spans="1:11">
      <c r="A751" t="s">
        <v>29</v>
      </c>
      <c r="B751" t="s">
        <v>30</v>
      </c>
      <c r="C751" t="s">
        <v>24</v>
      </c>
      <c r="D751" t="s">
        <v>31</v>
      </c>
      <c r="E751">
        <v>0.25</v>
      </c>
      <c r="F751">
        <v>31</v>
      </c>
      <c r="G751">
        <v>3</v>
      </c>
      <c r="H751">
        <v>2017</v>
      </c>
      <c r="I751" t="s">
        <v>595</v>
      </c>
      <c r="J751" t="str">
        <f t="shared" si="22"/>
        <v>Quarterfinal</v>
      </c>
      <c r="K751">
        <f t="shared" si="23"/>
        <v>0</v>
      </c>
    </row>
    <row r="752" spans="1:11">
      <c r="A752" t="s">
        <v>160</v>
      </c>
      <c r="B752" t="s">
        <v>161</v>
      </c>
      <c r="C752" t="s">
        <v>24</v>
      </c>
      <c r="D752" t="s">
        <v>13</v>
      </c>
      <c r="E752">
        <v>0.25</v>
      </c>
      <c r="F752">
        <v>50</v>
      </c>
      <c r="G752">
        <v>1</v>
      </c>
      <c r="H752">
        <v>2017</v>
      </c>
      <c r="I752" t="s">
        <v>596</v>
      </c>
      <c r="J752" t="str">
        <f t="shared" si="22"/>
        <v>Quarterfinal</v>
      </c>
      <c r="K752">
        <f t="shared" si="23"/>
        <v>1</v>
      </c>
    </row>
    <row r="753" spans="1:11">
      <c r="A753" t="s">
        <v>505</v>
      </c>
      <c r="B753" t="s">
        <v>506</v>
      </c>
      <c r="C753" t="s">
        <v>39</v>
      </c>
      <c r="D753" t="s">
        <v>17</v>
      </c>
      <c r="E753">
        <v>0.25</v>
      </c>
      <c r="F753">
        <v>40</v>
      </c>
      <c r="G753">
        <v>2</v>
      </c>
      <c r="H753">
        <v>2017</v>
      </c>
      <c r="I753" t="s">
        <v>596</v>
      </c>
      <c r="J753" t="str">
        <f t="shared" si="22"/>
        <v>Quarterfinal</v>
      </c>
      <c r="K753">
        <f t="shared" si="23"/>
        <v>0</v>
      </c>
    </row>
    <row r="754" spans="1:11">
      <c r="A754" t="s">
        <v>387</v>
      </c>
      <c r="B754" t="s">
        <v>388</v>
      </c>
      <c r="C754" t="s">
        <v>50</v>
      </c>
      <c r="D754" t="s">
        <v>17</v>
      </c>
      <c r="E754">
        <v>0.25</v>
      </c>
      <c r="F754">
        <v>38</v>
      </c>
      <c r="G754">
        <v>3</v>
      </c>
      <c r="H754">
        <v>2017</v>
      </c>
      <c r="I754" t="s">
        <v>596</v>
      </c>
      <c r="J754" t="str">
        <f t="shared" si="22"/>
        <v>Quarterfinal</v>
      </c>
      <c r="K754">
        <f t="shared" si="23"/>
        <v>0</v>
      </c>
    </row>
    <row r="755" spans="1:11">
      <c r="A755" t="s">
        <v>165</v>
      </c>
      <c r="B755" t="s">
        <v>166</v>
      </c>
      <c r="C755" t="s">
        <v>24</v>
      </c>
      <c r="D755" t="s">
        <v>17</v>
      </c>
      <c r="E755">
        <v>0.25</v>
      </c>
      <c r="F755">
        <v>51</v>
      </c>
      <c r="G755">
        <v>1</v>
      </c>
      <c r="H755">
        <v>2017</v>
      </c>
      <c r="I755" t="s">
        <v>597</v>
      </c>
      <c r="J755" t="str">
        <f t="shared" si="22"/>
        <v>Quarterfinal</v>
      </c>
      <c r="K755">
        <f t="shared" si="23"/>
        <v>1</v>
      </c>
    </row>
    <row r="756" spans="1:11">
      <c r="A756" t="s">
        <v>78</v>
      </c>
      <c r="B756" t="s">
        <v>79</v>
      </c>
      <c r="C756" t="s">
        <v>80</v>
      </c>
      <c r="D756" t="s">
        <v>17</v>
      </c>
      <c r="E756">
        <v>0.25</v>
      </c>
      <c r="F756">
        <v>48</v>
      </c>
      <c r="G756">
        <v>2</v>
      </c>
      <c r="H756">
        <v>2017</v>
      </c>
      <c r="I756" t="s">
        <v>597</v>
      </c>
      <c r="J756" t="str">
        <f t="shared" si="22"/>
        <v>Quarterfinal</v>
      </c>
      <c r="K756">
        <f t="shared" si="23"/>
        <v>0</v>
      </c>
    </row>
    <row r="757" spans="1:11">
      <c r="A757" t="s">
        <v>181</v>
      </c>
      <c r="B757" t="s">
        <v>182</v>
      </c>
      <c r="C757" t="s">
        <v>20</v>
      </c>
      <c r="D757" t="s">
        <v>17</v>
      </c>
      <c r="E757">
        <v>0.25</v>
      </c>
      <c r="F757">
        <v>33</v>
      </c>
      <c r="G757">
        <v>3</v>
      </c>
      <c r="H757">
        <v>2017</v>
      </c>
      <c r="I757" t="s">
        <v>597</v>
      </c>
      <c r="J757" t="str">
        <f t="shared" si="22"/>
        <v>Quarterfinal</v>
      </c>
      <c r="K757">
        <f t="shared" si="23"/>
        <v>0</v>
      </c>
    </row>
    <row r="758" spans="1:11">
      <c r="A758" t="s">
        <v>140</v>
      </c>
      <c r="B758" t="s">
        <v>141</v>
      </c>
      <c r="C758" t="s">
        <v>24</v>
      </c>
      <c r="D758" t="s">
        <v>17</v>
      </c>
      <c r="E758">
        <v>0.25</v>
      </c>
      <c r="F758">
        <v>50</v>
      </c>
      <c r="G758">
        <v>1</v>
      </c>
      <c r="H758">
        <v>2017</v>
      </c>
      <c r="I758" t="s">
        <v>598</v>
      </c>
      <c r="J758" t="str">
        <f t="shared" si="22"/>
        <v>Quarterfinal</v>
      </c>
      <c r="K758">
        <f t="shared" si="23"/>
        <v>1</v>
      </c>
    </row>
    <row r="759" spans="1:11">
      <c r="A759" t="s">
        <v>89</v>
      </c>
      <c r="B759" t="s">
        <v>90</v>
      </c>
      <c r="C759" t="s">
        <v>50</v>
      </c>
      <c r="D759" t="s">
        <v>31</v>
      </c>
      <c r="E759">
        <v>0.25</v>
      </c>
      <c r="F759">
        <v>34</v>
      </c>
      <c r="G759">
        <v>2</v>
      </c>
      <c r="H759">
        <v>2017</v>
      </c>
      <c r="I759" t="s">
        <v>598</v>
      </c>
      <c r="J759" t="str">
        <f t="shared" si="22"/>
        <v>Quarterfinal</v>
      </c>
      <c r="K759">
        <f t="shared" si="23"/>
        <v>0</v>
      </c>
    </row>
    <row r="760" spans="1:11">
      <c r="A760" t="s">
        <v>199</v>
      </c>
      <c r="B760" t="s">
        <v>200</v>
      </c>
      <c r="C760" t="s">
        <v>39</v>
      </c>
      <c r="D760" t="s">
        <v>31</v>
      </c>
      <c r="E760">
        <v>0.25</v>
      </c>
      <c r="F760">
        <v>28</v>
      </c>
      <c r="G760">
        <v>3</v>
      </c>
      <c r="H760">
        <v>2017</v>
      </c>
      <c r="I760" t="s">
        <v>598</v>
      </c>
      <c r="J760" t="str">
        <f t="shared" si="22"/>
        <v>Quarterfinal</v>
      </c>
      <c r="K760">
        <f t="shared" si="23"/>
        <v>0</v>
      </c>
    </row>
    <row r="761" spans="1:11">
      <c r="A761" t="s">
        <v>35</v>
      </c>
      <c r="B761" t="s">
        <v>36</v>
      </c>
      <c r="C761" t="s">
        <v>20</v>
      </c>
      <c r="D761" t="s">
        <v>13</v>
      </c>
      <c r="E761">
        <v>0.125</v>
      </c>
      <c r="F761">
        <v>49</v>
      </c>
      <c r="G761">
        <v>1</v>
      </c>
      <c r="H761">
        <v>2017</v>
      </c>
      <c r="I761" t="s">
        <v>599</v>
      </c>
      <c r="J761" t="str">
        <f t="shared" si="22"/>
        <v>Preliminary</v>
      </c>
      <c r="K761">
        <f t="shared" si="23"/>
        <v>1</v>
      </c>
    </row>
    <row r="762" spans="1:11">
      <c r="A762" t="s">
        <v>32</v>
      </c>
      <c r="B762" t="s">
        <v>33</v>
      </c>
      <c r="C762" t="s">
        <v>20</v>
      </c>
      <c r="D762" t="s">
        <v>31</v>
      </c>
      <c r="E762">
        <v>0.125</v>
      </c>
      <c r="F762">
        <v>29</v>
      </c>
      <c r="G762">
        <v>2</v>
      </c>
      <c r="H762">
        <v>2017</v>
      </c>
      <c r="I762" t="s">
        <v>599</v>
      </c>
      <c r="J762" t="str">
        <f t="shared" si="22"/>
        <v>Preliminary</v>
      </c>
      <c r="K762">
        <f t="shared" si="23"/>
        <v>0</v>
      </c>
    </row>
    <row r="763" spans="1:11">
      <c r="A763" t="s">
        <v>274</v>
      </c>
      <c r="B763" t="s">
        <v>275</v>
      </c>
      <c r="C763" t="s">
        <v>20</v>
      </c>
      <c r="D763" t="s">
        <v>17</v>
      </c>
      <c r="E763">
        <v>0.125</v>
      </c>
      <c r="F763">
        <v>22</v>
      </c>
      <c r="G763">
        <v>3</v>
      </c>
      <c r="H763">
        <v>2017</v>
      </c>
      <c r="I763" t="s">
        <v>599</v>
      </c>
      <c r="J763" t="str">
        <f t="shared" si="22"/>
        <v>Preliminary</v>
      </c>
      <c r="K763">
        <f t="shared" si="23"/>
        <v>0</v>
      </c>
    </row>
    <row r="764" spans="1:11">
      <c r="A764" t="s">
        <v>48</v>
      </c>
      <c r="B764" t="s">
        <v>49</v>
      </c>
      <c r="C764" t="s">
        <v>50</v>
      </c>
      <c r="D764" t="s">
        <v>13</v>
      </c>
      <c r="E764">
        <v>0.125</v>
      </c>
      <c r="F764">
        <v>48</v>
      </c>
      <c r="G764">
        <v>1</v>
      </c>
      <c r="H764">
        <v>2017</v>
      </c>
      <c r="I764" t="s">
        <v>600</v>
      </c>
      <c r="J764" t="str">
        <f t="shared" si="22"/>
        <v>Preliminary</v>
      </c>
      <c r="K764">
        <f t="shared" si="23"/>
        <v>1</v>
      </c>
    </row>
    <row r="765" spans="1:11">
      <c r="A765" t="s">
        <v>64</v>
      </c>
      <c r="B765" t="s">
        <v>65</v>
      </c>
      <c r="C765" t="s">
        <v>12</v>
      </c>
      <c r="D765" t="s">
        <v>17</v>
      </c>
      <c r="E765">
        <v>0.125</v>
      </c>
      <c r="F765">
        <v>36</v>
      </c>
      <c r="G765">
        <v>2</v>
      </c>
      <c r="H765">
        <v>2017</v>
      </c>
      <c r="I765" t="s">
        <v>600</v>
      </c>
      <c r="J765" t="str">
        <f t="shared" si="22"/>
        <v>Preliminary</v>
      </c>
      <c r="K765">
        <f t="shared" si="23"/>
        <v>0</v>
      </c>
    </row>
    <row r="766" spans="1:11">
      <c r="A766" t="s">
        <v>436</v>
      </c>
      <c r="B766" t="s">
        <v>437</v>
      </c>
      <c r="C766" t="s">
        <v>20</v>
      </c>
      <c r="D766" t="s">
        <v>17</v>
      </c>
      <c r="E766">
        <v>0.125</v>
      </c>
      <c r="F766">
        <v>28</v>
      </c>
      <c r="G766">
        <v>3</v>
      </c>
      <c r="H766">
        <v>2017</v>
      </c>
      <c r="I766" t="s">
        <v>600</v>
      </c>
      <c r="J766" t="str">
        <f t="shared" si="22"/>
        <v>Preliminary</v>
      </c>
      <c r="K766">
        <f t="shared" si="23"/>
        <v>0</v>
      </c>
    </row>
    <row r="767" spans="1:11">
      <c r="A767" t="s">
        <v>576</v>
      </c>
      <c r="B767" t="s">
        <v>577</v>
      </c>
      <c r="C767" t="s">
        <v>20</v>
      </c>
      <c r="D767" t="s">
        <v>17</v>
      </c>
      <c r="E767">
        <v>0.125</v>
      </c>
      <c r="F767">
        <v>35</v>
      </c>
      <c r="G767">
        <v>1</v>
      </c>
      <c r="H767">
        <v>2017</v>
      </c>
      <c r="I767" t="s">
        <v>601</v>
      </c>
      <c r="J767" t="str">
        <f t="shared" si="22"/>
        <v>Preliminary</v>
      </c>
      <c r="K767">
        <f t="shared" si="23"/>
        <v>1</v>
      </c>
    </row>
    <row r="768" spans="1:11">
      <c r="A768" t="s">
        <v>449</v>
      </c>
      <c r="B768" t="s">
        <v>450</v>
      </c>
      <c r="C768" t="s">
        <v>20</v>
      </c>
      <c r="D768" t="s">
        <v>31</v>
      </c>
      <c r="E768">
        <v>0.125</v>
      </c>
      <c r="F768">
        <v>33</v>
      </c>
      <c r="G768">
        <v>2</v>
      </c>
      <c r="H768">
        <v>2017</v>
      </c>
      <c r="I768" t="s">
        <v>601</v>
      </c>
      <c r="J768" t="str">
        <f t="shared" si="22"/>
        <v>Preliminary</v>
      </c>
      <c r="K768">
        <f t="shared" si="23"/>
        <v>0</v>
      </c>
    </row>
    <row r="769" spans="1:11">
      <c r="A769" t="s">
        <v>75</v>
      </c>
      <c r="B769" t="s">
        <v>76</v>
      </c>
      <c r="C769" t="s">
        <v>39</v>
      </c>
      <c r="D769" t="s">
        <v>17</v>
      </c>
      <c r="E769">
        <v>0.125</v>
      </c>
      <c r="F769">
        <v>29</v>
      </c>
      <c r="G769">
        <v>3</v>
      </c>
      <c r="H769">
        <v>2017</v>
      </c>
      <c r="I769" t="s">
        <v>601</v>
      </c>
      <c r="J769" t="str">
        <f t="shared" si="22"/>
        <v>Preliminary</v>
      </c>
      <c r="K769">
        <f t="shared" si="23"/>
        <v>0</v>
      </c>
    </row>
    <row r="770" spans="1:11">
      <c r="A770" t="s">
        <v>22</v>
      </c>
      <c r="B770" t="s">
        <v>23</v>
      </c>
      <c r="C770" t="s">
        <v>24</v>
      </c>
      <c r="D770" t="s">
        <v>13</v>
      </c>
      <c r="E770">
        <v>0.125</v>
      </c>
      <c r="F770">
        <v>50</v>
      </c>
      <c r="G770">
        <v>1</v>
      </c>
      <c r="H770">
        <v>2017</v>
      </c>
      <c r="I770" t="s">
        <v>602</v>
      </c>
      <c r="J770" t="str">
        <f t="shared" si="22"/>
        <v>Preliminary</v>
      </c>
      <c r="K770">
        <f t="shared" si="23"/>
        <v>1</v>
      </c>
    </row>
    <row r="771" spans="1:11">
      <c r="A771" t="s">
        <v>197</v>
      </c>
      <c r="B771" t="s">
        <v>198</v>
      </c>
      <c r="C771" t="s">
        <v>39</v>
      </c>
      <c r="D771" t="s">
        <v>13</v>
      </c>
      <c r="E771">
        <v>0.125</v>
      </c>
      <c r="F771">
        <v>47</v>
      </c>
      <c r="G771">
        <v>2</v>
      </c>
      <c r="H771">
        <v>2017</v>
      </c>
      <c r="I771" t="s">
        <v>602</v>
      </c>
      <c r="J771" t="str">
        <f t="shared" ref="J771:J834" si="24">IF(E771=1,"Final",IF(E771=0.5,"Semifinal",IF(E771=0.25,"Quarterfinal",IF(E771=0.125,"Preliminary","Unknown"))))</f>
        <v>Preliminary</v>
      </c>
      <c r="K771">
        <f t="shared" ref="K771:K834" si="25">IF(G771=1,1,0)</f>
        <v>0</v>
      </c>
    </row>
    <row r="772" spans="1:11">
      <c r="A772" t="s">
        <v>603</v>
      </c>
      <c r="B772" t="s">
        <v>604</v>
      </c>
      <c r="C772" t="s">
        <v>39</v>
      </c>
      <c r="D772" t="s">
        <v>17</v>
      </c>
      <c r="E772">
        <v>0.125</v>
      </c>
      <c r="F772">
        <v>20</v>
      </c>
      <c r="G772">
        <v>3</v>
      </c>
      <c r="H772">
        <v>2017</v>
      </c>
      <c r="I772" t="s">
        <v>602</v>
      </c>
      <c r="J772" t="str">
        <f t="shared" si="24"/>
        <v>Preliminary</v>
      </c>
      <c r="K772">
        <f t="shared" si="25"/>
        <v>0</v>
      </c>
    </row>
    <row r="773" spans="1:11">
      <c r="A773" t="s">
        <v>142</v>
      </c>
      <c r="B773" t="s">
        <v>143</v>
      </c>
      <c r="C773" t="s">
        <v>24</v>
      </c>
      <c r="D773" t="s">
        <v>17</v>
      </c>
      <c r="E773">
        <v>0.125</v>
      </c>
      <c r="F773">
        <v>42</v>
      </c>
      <c r="G773">
        <v>1</v>
      </c>
      <c r="H773">
        <v>2017</v>
      </c>
      <c r="I773" t="s">
        <v>605</v>
      </c>
      <c r="J773" t="str">
        <f t="shared" si="24"/>
        <v>Preliminary</v>
      </c>
      <c r="K773">
        <f t="shared" si="25"/>
        <v>1</v>
      </c>
    </row>
    <row r="774" spans="1:11">
      <c r="A774" t="s">
        <v>101</v>
      </c>
      <c r="B774" t="s">
        <v>102</v>
      </c>
      <c r="C774" t="s">
        <v>74</v>
      </c>
      <c r="D774" t="s">
        <v>31</v>
      </c>
      <c r="E774">
        <v>0.125</v>
      </c>
      <c r="F774">
        <v>41</v>
      </c>
      <c r="G774">
        <v>2</v>
      </c>
      <c r="H774">
        <v>2017</v>
      </c>
      <c r="I774" t="s">
        <v>605</v>
      </c>
      <c r="J774" t="str">
        <f t="shared" si="24"/>
        <v>Preliminary</v>
      </c>
      <c r="K774">
        <f t="shared" si="25"/>
        <v>0</v>
      </c>
    </row>
    <row r="775" spans="1:11">
      <c r="A775" t="s">
        <v>263</v>
      </c>
      <c r="B775" t="s">
        <v>264</v>
      </c>
      <c r="C775" t="s">
        <v>118</v>
      </c>
      <c r="D775" t="s">
        <v>13</v>
      </c>
      <c r="E775">
        <v>0.125</v>
      </c>
      <c r="F775">
        <v>34</v>
      </c>
      <c r="G775">
        <v>3</v>
      </c>
      <c r="H775">
        <v>2017</v>
      </c>
      <c r="I775" t="s">
        <v>605</v>
      </c>
      <c r="J775" t="str">
        <f t="shared" si="24"/>
        <v>Preliminary</v>
      </c>
      <c r="K775">
        <f t="shared" si="25"/>
        <v>0</v>
      </c>
    </row>
    <row r="776" spans="1:11">
      <c r="A776" t="s">
        <v>111</v>
      </c>
      <c r="B776" t="s">
        <v>112</v>
      </c>
      <c r="C776" t="s">
        <v>27</v>
      </c>
      <c r="D776" t="s">
        <v>17</v>
      </c>
      <c r="E776">
        <v>0.125</v>
      </c>
      <c r="F776">
        <v>31</v>
      </c>
      <c r="G776">
        <v>1</v>
      </c>
      <c r="H776">
        <v>2017</v>
      </c>
      <c r="I776" t="s">
        <v>606</v>
      </c>
      <c r="J776" t="str">
        <f t="shared" si="24"/>
        <v>Preliminary</v>
      </c>
      <c r="K776">
        <f t="shared" si="25"/>
        <v>1</v>
      </c>
    </row>
    <row r="777" spans="1:11">
      <c r="A777" t="s">
        <v>72</v>
      </c>
      <c r="B777" t="s">
        <v>73</v>
      </c>
      <c r="C777" t="s">
        <v>74</v>
      </c>
      <c r="D777" t="s">
        <v>13</v>
      </c>
      <c r="E777">
        <v>0.125</v>
      </c>
      <c r="F777">
        <v>22</v>
      </c>
      <c r="G777">
        <v>2</v>
      </c>
      <c r="H777">
        <v>2017</v>
      </c>
      <c r="I777" t="s">
        <v>606</v>
      </c>
      <c r="J777" t="str">
        <f t="shared" si="24"/>
        <v>Preliminary</v>
      </c>
      <c r="K777">
        <f t="shared" si="25"/>
        <v>0</v>
      </c>
    </row>
    <row r="778" spans="1:11">
      <c r="A778" t="s">
        <v>546</v>
      </c>
      <c r="B778" t="s">
        <v>547</v>
      </c>
      <c r="C778" t="s">
        <v>50</v>
      </c>
      <c r="D778" t="s">
        <v>17</v>
      </c>
      <c r="E778">
        <v>0.125</v>
      </c>
      <c r="F778">
        <v>11</v>
      </c>
      <c r="G778">
        <v>3</v>
      </c>
      <c r="H778">
        <v>2017</v>
      </c>
      <c r="I778" t="s">
        <v>606</v>
      </c>
      <c r="J778" t="str">
        <f t="shared" si="24"/>
        <v>Preliminary</v>
      </c>
      <c r="K778">
        <f t="shared" si="25"/>
        <v>0</v>
      </c>
    </row>
    <row r="779" spans="1:11">
      <c r="A779" t="s">
        <v>41</v>
      </c>
      <c r="B779" t="s">
        <v>42</v>
      </c>
      <c r="C779" t="s">
        <v>27</v>
      </c>
      <c r="D779" t="s">
        <v>17</v>
      </c>
      <c r="E779">
        <v>0.125</v>
      </c>
      <c r="F779">
        <v>49</v>
      </c>
      <c r="G779">
        <v>1</v>
      </c>
      <c r="H779">
        <v>2017</v>
      </c>
      <c r="I779" t="s">
        <v>607</v>
      </c>
      <c r="J779" t="str">
        <f t="shared" si="24"/>
        <v>Preliminary</v>
      </c>
      <c r="K779">
        <f t="shared" si="25"/>
        <v>1</v>
      </c>
    </row>
    <row r="780" spans="1:11">
      <c r="A780" t="s">
        <v>86</v>
      </c>
      <c r="B780" t="s">
        <v>87</v>
      </c>
      <c r="C780" t="s">
        <v>20</v>
      </c>
      <c r="D780" t="s">
        <v>17</v>
      </c>
      <c r="E780">
        <v>0.125</v>
      </c>
      <c r="F780">
        <v>43</v>
      </c>
      <c r="G780">
        <v>2</v>
      </c>
      <c r="H780">
        <v>2017</v>
      </c>
      <c r="I780" t="s">
        <v>607</v>
      </c>
      <c r="J780" t="str">
        <f t="shared" si="24"/>
        <v>Preliminary</v>
      </c>
      <c r="K780">
        <f t="shared" si="25"/>
        <v>0</v>
      </c>
    </row>
    <row r="781" spans="1:11">
      <c r="A781" t="s">
        <v>446</v>
      </c>
      <c r="B781" t="s">
        <v>447</v>
      </c>
      <c r="C781" t="s">
        <v>50</v>
      </c>
      <c r="D781" t="s">
        <v>17</v>
      </c>
      <c r="E781">
        <v>0.125</v>
      </c>
      <c r="F781">
        <v>27</v>
      </c>
      <c r="G781">
        <v>3</v>
      </c>
      <c r="H781">
        <v>2017</v>
      </c>
      <c r="I781" t="s">
        <v>607</v>
      </c>
      <c r="J781" t="str">
        <f t="shared" si="24"/>
        <v>Preliminary</v>
      </c>
      <c r="K781">
        <f t="shared" si="25"/>
        <v>0</v>
      </c>
    </row>
    <row r="782" spans="1:11">
      <c r="A782" t="s">
        <v>257</v>
      </c>
      <c r="B782" t="s">
        <v>258</v>
      </c>
      <c r="C782" t="s">
        <v>12</v>
      </c>
      <c r="D782" t="s">
        <v>17</v>
      </c>
      <c r="E782">
        <v>0.125</v>
      </c>
      <c r="F782">
        <v>43</v>
      </c>
      <c r="G782">
        <v>1</v>
      </c>
      <c r="H782">
        <v>2017</v>
      </c>
      <c r="I782" t="s">
        <v>608</v>
      </c>
      <c r="J782" t="str">
        <f t="shared" si="24"/>
        <v>Preliminary</v>
      </c>
      <c r="K782">
        <f t="shared" si="25"/>
        <v>1</v>
      </c>
    </row>
    <row r="783" spans="1:11">
      <c r="A783" t="s">
        <v>96</v>
      </c>
      <c r="B783" t="s">
        <v>97</v>
      </c>
      <c r="C783" t="s">
        <v>74</v>
      </c>
      <c r="D783" t="s">
        <v>17</v>
      </c>
      <c r="E783">
        <v>0.125</v>
      </c>
      <c r="F783">
        <v>37</v>
      </c>
      <c r="G783">
        <v>2</v>
      </c>
      <c r="H783">
        <v>2017</v>
      </c>
      <c r="I783" t="s">
        <v>608</v>
      </c>
      <c r="J783" t="str">
        <f t="shared" si="24"/>
        <v>Preliminary</v>
      </c>
      <c r="K783">
        <f t="shared" si="25"/>
        <v>0</v>
      </c>
    </row>
    <row r="784" spans="1:11">
      <c r="A784" t="s">
        <v>609</v>
      </c>
      <c r="B784" t="s">
        <v>610</v>
      </c>
      <c r="C784" t="s">
        <v>480</v>
      </c>
      <c r="D784" t="s">
        <v>17</v>
      </c>
      <c r="E784">
        <v>0.125</v>
      </c>
      <c r="F784">
        <v>27</v>
      </c>
      <c r="G784">
        <v>3</v>
      </c>
      <c r="H784">
        <v>2017</v>
      </c>
      <c r="I784" t="s">
        <v>608</v>
      </c>
      <c r="J784" t="str">
        <f t="shared" si="24"/>
        <v>Preliminary</v>
      </c>
      <c r="K784">
        <f t="shared" si="25"/>
        <v>0</v>
      </c>
    </row>
    <row r="785" spans="1:11">
      <c r="A785" t="s">
        <v>145</v>
      </c>
      <c r="B785" t="s">
        <v>146</v>
      </c>
      <c r="C785" t="s">
        <v>24</v>
      </c>
      <c r="D785" t="s">
        <v>31</v>
      </c>
      <c r="E785">
        <v>0.125</v>
      </c>
      <c r="F785">
        <v>40</v>
      </c>
      <c r="G785">
        <v>1</v>
      </c>
      <c r="H785">
        <v>2017</v>
      </c>
      <c r="I785" t="s">
        <v>611</v>
      </c>
      <c r="J785" t="str">
        <f t="shared" si="24"/>
        <v>Preliminary</v>
      </c>
      <c r="K785">
        <f t="shared" si="25"/>
        <v>1</v>
      </c>
    </row>
    <row r="786" spans="1:11">
      <c r="A786" t="s">
        <v>202</v>
      </c>
      <c r="B786" t="s">
        <v>203</v>
      </c>
      <c r="C786" t="s">
        <v>39</v>
      </c>
      <c r="D786" t="s">
        <v>13</v>
      </c>
      <c r="E786">
        <v>0.125</v>
      </c>
      <c r="F786">
        <v>30</v>
      </c>
      <c r="G786">
        <v>2</v>
      </c>
      <c r="H786">
        <v>2017</v>
      </c>
      <c r="I786" t="s">
        <v>611</v>
      </c>
      <c r="J786" t="str">
        <f t="shared" si="24"/>
        <v>Preliminary</v>
      </c>
      <c r="K786">
        <f t="shared" si="25"/>
        <v>0</v>
      </c>
    </row>
    <row r="787" spans="1:11">
      <c r="A787" t="s">
        <v>612</v>
      </c>
      <c r="B787" t="s">
        <v>613</v>
      </c>
      <c r="C787" t="s">
        <v>50</v>
      </c>
      <c r="D787" t="s">
        <v>17</v>
      </c>
      <c r="E787">
        <v>0.125</v>
      </c>
      <c r="F787">
        <v>29</v>
      </c>
      <c r="G787">
        <v>3</v>
      </c>
      <c r="H787">
        <v>2017</v>
      </c>
      <c r="I787" t="s">
        <v>611</v>
      </c>
      <c r="J787" t="str">
        <f t="shared" si="24"/>
        <v>Preliminary</v>
      </c>
      <c r="K787">
        <f t="shared" si="25"/>
        <v>0</v>
      </c>
    </row>
    <row r="788" spans="1:11">
      <c r="A788" t="s">
        <v>178</v>
      </c>
      <c r="B788" t="s">
        <v>179</v>
      </c>
      <c r="C788" t="s">
        <v>12</v>
      </c>
      <c r="D788" t="s">
        <v>13</v>
      </c>
      <c r="E788">
        <v>0.125</v>
      </c>
      <c r="F788">
        <v>67</v>
      </c>
      <c r="G788">
        <v>1</v>
      </c>
      <c r="H788">
        <v>2017</v>
      </c>
      <c r="I788" t="s">
        <v>614</v>
      </c>
      <c r="J788" t="str">
        <f t="shared" si="24"/>
        <v>Preliminary</v>
      </c>
      <c r="K788">
        <f t="shared" si="25"/>
        <v>1</v>
      </c>
    </row>
    <row r="789" spans="1:11">
      <c r="A789" t="s">
        <v>615</v>
      </c>
      <c r="B789" t="s">
        <v>616</v>
      </c>
      <c r="C789" t="s">
        <v>20</v>
      </c>
      <c r="D789" t="s">
        <v>17</v>
      </c>
      <c r="E789">
        <v>0.125</v>
      </c>
      <c r="F789">
        <v>37</v>
      </c>
      <c r="G789">
        <v>2</v>
      </c>
      <c r="H789">
        <v>2017</v>
      </c>
      <c r="I789" t="s">
        <v>614</v>
      </c>
      <c r="J789" t="str">
        <f t="shared" si="24"/>
        <v>Preliminary</v>
      </c>
      <c r="K789">
        <f t="shared" si="25"/>
        <v>0</v>
      </c>
    </row>
    <row r="790" spans="1:11">
      <c r="A790" t="s">
        <v>69</v>
      </c>
      <c r="B790" t="s">
        <v>70</v>
      </c>
      <c r="C790" t="s">
        <v>27</v>
      </c>
      <c r="D790" t="s">
        <v>13</v>
      </c>
      <c r="E790">
        <v>0.125</v>
      </c>
      <c r="F790">
        <v>34</v>
      </c>
      <c r="G790">
        <v>3</v>
      </c>
      <c r="H790">
        <v>2017</v>
      </c>
      <c r="I790" t="s">
        <v>614</v>
      </c>
      <c r="J790" t="str">
        <f t="shared" si="24"/>
        <v>Preliminary</v>
      </c>
      <c r="K790">
        <f t="shared" si="25"/>
        <v>0</v>
      </c>
    </row>
    <row r="791" spans="1:11">
      <c r="A791" t="s">
        <v>127</v>
      </c>
      <c r="B791" t="s">
        <v>128</v>
      </c>
      <c r="C791" t="s">
        <v>39</v>
      </c>
      <c r="D791" t="s">
        <v>17</v>
      </c>
      <c r="E791">
        <v>0.125</v>
      </c>
      <c r="F791">
        <v>42</v>
      </c>
      <c r="G791">
        <v>1</v>
      </c>
      <c r="H791">
        <v>2017</v>
      </c>
      <c r="I791" t="s">
        <v>617</v>
      </c>
      <c r="J791" t="str">
        <f t="shared" si="24"/>
        <v>Preliminary</v>
      </c>
      <c r="K791">
        <f t="shared" si="25"/>
        <v>1</v>
      </c>
    </row>
    <row r="792" spans="1:11">
      <c r="A792" t="s">
        <v>109</v>
      </c>
      <c r="B792" t="s">
        <v>110</v>
      </c>
      <c r="C792" t="s">
        <v>39</v>
      </c>
      <c r="D792" t="s">
        <v>17</v>
      </c>
      <c r="E792">
        <v>0.125</v>
      </c>
      <c r="F792">
        <v>31</v>
      </c>
      <c r="G792">
        <v>2</v>
      </c>
      <c r="H792">
        <v>2017</v>
      </c>
      <c r="I792" t="s">
        <v>617</v>
      </c>
      <c r="J792" t="str">
        <f t="shared" si="24"/>
        <v>Preliminary</v>
      </c>
      <c r="K792">
        <f t="shared" si="25"/>
        <v>0</v>
      </c>
    </row>
    <row r="793" spans="1:11">
      <c r="A793" t="s">
        <v>219</v>
      </c>
      <c r="B793" t="s">
        <v>220</v>
      </c>
      <c r="C793" t="s">
        <v>27</v>
      </c>
      <c r="D793" t="s">
        <v>17</v>
      </c>
      <c r="E793">
        <v>0.125</v>
      </c>
      <c r="F793">
        <v>31</v>
      </c>
      <c r="G793">
        <v>3</v>
      </c>
      <c r="H793">
        <v>2017</v>
      </c>
      <c r="I793" t="s">
        <v>617</v>
      </c>
      <c r="J793" t="str">
        <f t="shared" si="24"/>
        <v>Preliminary</v>
      </c>
      <c r="K793">
        <f t="shared" si="25"/>
        <v>0</v>
      </c>
    </row>
    <row r="794" spans="1:11">
      <c r="A794" t="s">
        <v>207</v>
      </c>
      <c r="B794" t="s">
        <v>208</v>
      </c>
      <c r="C794" t="s">
        <v>20</v>
      </c>
      <c r="D794" t="s">
        <v>13</v>
      </c>
      <c r="E794">
        <v>0.125</v>
      </c>
      <c r="F794">
        <v>43</v>
      </c>
      <c r="G794">
        <v>1</v>
      </c>
      <c r="H794">
        <v>2017</v>
      </c>
      <c r="I794" t="s">
        <v>618</v>
      </c>
      <c r="J794" t="str">
        <f t="shared" si="24"/>
        <v>Preliminary</v>
      </c>
      <c r="K794">
        <f t="shared" si="25"/>
        <v>1</v>
      </c>
    </row>
    <row r="795" spans="1:11">
      <c r="A795" t="s">
        <v>104</v>
      </c>
      <c r="B795" t="s">
        <v>105</v>
      </c>
      <c r="C795" t="s">
        <v>12</v>
      </c>
      <c r="D795" t="s">
        <v>17</v>
      </c>
      <c r="E795">
        <v>0.125</v>
      </c>
      <c r="F795">
        <v>40</v>
      </c>
      <c r="G795">
        <v>2</v>
      </c>
      <c r="H795">
        <v>2017</v>
      </c>
      <c r="I795" t="s">
        <v>618</v>
      </c>
      <c r="J795" t="str">
        <f t="shared" si="24"/>
        <v>Preliminary</v>
      </c>
      <c r="K795">
        <f t="shared" si="25"/>
        <v>0</v>
      </c>
    </row>
    <row r="796" spans="1:11">
      <c r="A796" t="s">
        <v>619</v>
      </c>
      <c r="B796" t="s">
        <v>620</v>
      </c>
      <c r="C796" t="s">
        <v>195</v>
      </c>
      <c r="D796" t="s">
        <v>17</v>
      </c>
      <c r="E796">
        <v>0.125</v>
      </c>
      <c r="F796">
        <v>11</v>
      </c>
      <c r="G796">
        <v>3</v>
      </c>
      <c r="H796">
        <v>2017</v>
      </c>
      <c r="I796" t="s">
        <v>618</v>
      </c>
      <c r="J796" t="str">
        <f t="shared" si="24"/>
        <v>Preliminary</v>
      </c>
      <c r="K796">
        <f t="shared" si="25"/>
        <v>0</v>
      </c>
    </row>
    <row r="797" spans="1:11">
      <c r="A797" t="s">
        <v>10</v>
      </c>
      <c r="B797" t="s">
        <v>11</v>
      </c>
      <c r="C797" t="s">
        <v>12</v>
      </c>
      <c r="D797" t="s">
        <v>13</v>
      </c>
      <c r="E797">
        <v>0.125</v>
      </c>
      <c r="F797">
        <v>45</v>
      </c>
      <c r="G797">
        <v>1</v>
      </c>
      <c r="H797">
        <v>2017</v>
      </c>
      <c r="I797" t="s">
        <v>621</v>
      </c>
      <c r="J797" t="str">
        <f t="shared" si="24"/>
        <v>Preliminary</v>
      </c>
      <c r="K797">
        <f t="shared" si="25"/>
        <v>1</v>
      </c>
    </row>
    <row r="798" spans="1:11">
      <c r="A798" t="s">
        <v>204</v>
      </c>
      <c r="B798" t="s">
        <v>205</v>
      </c>
      <c r="C798" t="s">
        <v>12</v>
      </c>
      <c r="D798" t="s">
        <v>17</v>
      </c>
      <c r="E798">
        <v>0.125</v>
      </c>
      <c r="F798">
        <v>31</v>
      </c>
      <c r="G798">
        <v>2</v>
      </c>
      <c r="H798">
        <v>2017</v>
      </c>
      <c r="I798" t="s">
        <v>621</v>
      </c>
      <c r="J798" t="str">
        <f t="shared" si="24"/>
        <v>Preliminary</v>
      </c>
      <c r="K798">
        <f t="shared" si="25"/>
        <v>0</v>
      </c>
    </row>
    <row r="799" spans="1:11">
      <c r="A799" t="s">
        <v>46</v>
      </c>
      <c r="B799" t="s">
        <v>47</v>
      </c>
      <c r="C799" t="s">
        <v>12</v>
      </c>
      <c r="D799" t="s">
        <v>13</v>
      </c>
      <c r="E799">
        <v>0.125</v>
      </c>
      <c r="F799">
        <v>26</v>
      </c>
      <c r="G799">
        <v>3</v>
      </c>
      <c r="H799">
        <v>2017</v>
      </c>
      <c r="I799" t="s">
        <v>621</v>
      </c>
      <c r="J799" t="str">
        <f t="shared" si="24"/>
        <v>Preliminary</v>
      </c>
      <c r="K799">
        <f t="shared" si="25"/>
        <v>0</v>
      </c>
    </row>
    <row r="800" spans="1:11">
      <c r="A800" t="s">
        <v>25</v>
      </c>
      <c r="B800" t="s">
        <v>26</v>
      </c>
      <c r="C800" t="s">
        <v>27</v>
      </c>
      <c r="D800" t="s">
        <v>17</v>
      </c>
      <c r="E800">
        <v>0.125</v>
      </c>
      <c r="F800">
        <v>52</v>
      </c>
      <c r="G800">
        <v>1</v>
      </c>
      <c r="H800">
        <v>2017</v>
      </c>
      <c r="I800" t="s">
        <v>622</v>
      </c>
      <c r="J800" t="str">
        <f t="shared" si="24"/>
        <v>Preliminary</v>
      </c>
      <c r="K800">
        <f t="shared" si="25"/>
        <v>1</v>
      </c>
    </row>
    <row r="801" spans="1:11">
      <c r="A801" t="s">
        <v>18</v>
      </c>
      <c r="B801" t="s">
        <v>19</v>
      </c>
      <c r="C801" t="s">
        <v>20</v>
      </c>
      <c r="D801" t="s">
        <v>13</v>
      </c>
      <c r="E801">
        <v>0.125</v>
      </c>
      <c r="F801">
        <v>37</v>
      </c>
      <c r="G801">
        <v>2</v>
      </c>
      <c r="H801">
        <v>2017</v>
      </c>
      <c r="I801" t="s">
        <v>622</v>
      </c>
      <c r="J801" t="str">
        <f t="shared" si="24"/>
        <v>Preliminary</v>
      </c>
      <c r="K801">
        <f t="shared" si="25"/>
        <v>0</v>
      </c>
    </row>
    <row r="802" spans="1:11">
      <c r="A802" t="s">
        <v>283</v>
      </c>
      <c r="B802" t="s">
        <v>284</v>
      </c>
      <c r="C802" t="s">
        <v>74</v>
      </c>
      <c r="D802" t="s">
        <v>17</v>
      </c>
      <c r="E802">
        <v>0.125</v>
      </c>
      <c r="F802">
        <v>15</v>
      </c>
      <c r="G802">
        <v>3</v>
      </c>
      <c r="H802">
        <v>2017</v>
      </c>
      <c r="I802" t="s">
        <v>622</v>
      </c>
      <c r="J802" t="str">
        <f t="shared" si="24"/>
        <v>Preliminary</v>
      </c>
      <c r="K802">
        <f t="shared" si="25"/>
        <v>0</v>
      </c>
    </row>
    <row r="803" spans="1:11">
      <c r="A803" t="s">
        <v>543</v>
      </c>
      <c r="B803" t="s">
        <v>544</v>
      </c>
      <c r="C803" t="s">
        <v>20</v>
      </c>
      <c r="D803" t="s">
        <v>17</v>
      </c>
      <c r="E803">
        <v>0.125</v>
      </c>
      <c r="F803">
        <v>35</v>
      </c>
      <c r="G803">
        <v>1</v>
      </c>
      <c r="H803">
        <v>2017</v>
      </c>
      <c r="I803" t="s">
        <v>623</v>
      </c>
      <c r="J803" t="str">
        <f t="shared" si="24"/>
        <v>Preliminary</v>
      </c>
      <c r="K803">
        <f t="shared" si="25"/>
        <v>1</v>
      </c>
    </row>
    <row r="804" spans="1:11">
      <c r="A804" t="s">
        <v>371</v>
      </c>
      <c r="B804" t="s">
        <v>372</v>
      </c>
      <c r="C804" t="s">
        <v>27</v>
      </c>
      <c r="D804" t="s">
        <v>17</v>
      </c>
      <c r="E804">
        <v>0.125</v>
      </c>
      <c r="F804">
        <v>34</v>
      </c>
      <c r="G804">
        <v>2</v>
      </c>
      <c r="H804">
        <v>2017</v>
      </c>
      <c r="I804" t="s">
        <v>623</v>
      </c>
      <c r="J804" t="str">
        <f t="shared" si="24"/>
        <v>Preliminary</v>
      </c>
      <c r="K804">
        <f t="shared" si="25"/>
        <v>0</v>
      </c>
    </row>
    <row r="805" spans="1:11">
      <c r="A805" t="s">
        <v>37</v>
      </c>
      <c r="B805" t="s">
        <v>38</v>
      </c>
      <c r="C805" t="s">
        <v>39</v>
      </c>
      <c r="D805" t="s">
        <v>13</v>
      </c>
      <c r="E805">
        <v>0.125</v>
      </c>
      <c r="F805">
        <v>29</v>
      </c>
      <c r="G805">
        <v>3</v>
      </c>
      <c r="H805">
        <v>2017</v>
      </c>
      <c r="I805" t="s">
        <v>623</v>
      </c>
      <c r="J805" t="str">
        <f t="shared" si="24"/>
        <v>Preliminary</v>
      </c>
      <c r="K805">
        <f t="shared" si="25"/>
        <v>0</v>
      </c>
    </row>
    <row r="806" spans="1:11">
      <c r="A806" t="s">
        <v>52</v>
      </c>
      <c r="B806" t="s">
        <v>53</v>
      </c>
      <c r="C806" t="s">
        <v>20</v>
      </c>
      <c r="D806" t="s">
        <v>13</v>
      </c>
      <c r="E806">
        <v>0.125</v>
      </c>
      <c r="F806">
        <v>49</v>
      </c>
      <c r="G806">
        <v>1</v>
      </c>
      <c r="H806">
        <v>2017</v>
      </c>
      <c r="I806" t="s">
        <v>624</v>
      </c>
      <c r="J806" t="str">
        <f t="shared" si="24"/>
        <v>Preliminary</v>
      </c>
      <c r="K806">
        <f t="shared" si="25"/>
        <v>1</v>
      </c>
    </row>
    <row r="807" spans="1:11">
      <c r="A807" t="s">
        <v>625</v>
      </c>
      <c r="B807" t="s">
        <v>626</v>
      </c>
      <c r="C807" t="s">
        <v>27</v>
      </c>
      <c r="D807" t="s">
        <v>13</v>
      </c>
      <c r="E807">
        <v>0.125</v>
      </c>
      <c r="F807">
        <v>26</v>
      </c>
      <c r="G807">
        <v>2</v>
      </c>
      <c r="H807">
        <v>2017</v>
      </c>
      <c r="I807" t="s">
        <v>624</v>
      </c>
      <c r="J807" t="str">
        <f t="shared" si="24"/>
        <v>Preliminary</v>
      </c>
      <c r="K807">
        <f t="shared" si="25"/>
        <v>0</v>
      </c>
    </row>
    <row r="808" spans="1:11">
      <c r="A808" t="s">
        <v>94</v>
      </c>
      <c r="B808" t="s">
        <v>95</v>
      </c>
      <c r="C808" t="s">
        <v>20</v>
      </c>
      <c r="D808" t="s">
        <v>17</v>
      </c>
      <c r="E808">
        <v>0.125</v>
      </c>
      <c r="F808">
        <v>15</v>
      </c>
      <c r="G808">
        <v>3</v>
      </c>
      <c r="H808">
        <v>2017</v>
      </c>
      <c r="I808" t="s">
        <v>624</v>
      </c>
      <c r="J808" t="str">
        <f t="shared" si="24"/>
        <v>Preliminary</v>
      </c>
      <c r="K808">
        <f t="shared" si="25"/>
        <v>0</v>
      </c>
    </row>
    <row r="809" spans="1:11">
      <c r="A809" t="s">
        <v>191</v>
      </c>
      <c r="B809" t="s">
        <v>192</v>
      </c>
      <c r="C809" t="s">
        <v>20</v>
      </c>
      <c r="D809" t="s">
        <v>17</v>
      </c>
      <c r="E809">
        <v>0.125</v>
      </c>
      <c r="F809">
        <v>36</v>
      </c>
      <c r="G809">
        <v>1</v>
      </c>
      <c r="H809">
        <v>2017</v>
      </c>
      <c r="I809" t="s">
        <v>627</v>
      </c>
      <c r="J809" t="str">
        <f t="shared" si="24"/>
        <v>Preliminary</v>
      </c>
      <c r="K809">
        <f t="shared" si="25"/>
        <v>1</v>
      </c>
    </row>
    <row r="810" spans="1:11">
      <c r="A810" t="s">
        <v>481</v>
      </c>
      <c r="B810" t="s">
        <v>482</v>
      </c>
      <c r="C810" t="s">
        <v>12</v>
      </c>
      <c r="D810" t="s">
        <v>17</v>
      </c>
      <c r="E810">
        <v>0.125</v>
      </c>
      <c r="F810">
        <v>27</v>
      </c>
      <c r="G810">
        <v>2</v>
      </c>
      <c r="H810">
        <v>2017</v>
      </c>
      <c r="I810" t="s">
        <v>627</v>
      </c>
      <c r="J810" t="str">
        <f t="shared" si="24"/>
        <v>Preliminary</v>
      </c>
      <c r="K810">
        <f t="shared" si="25"/>
        <v>0</v>
      </c>
    </row>
    <row r="811" spans="1:11">
      <c r="A811" t="s">
        <v>628</v>
      </c>
      <c r="B811" t="s">
        <v>629</v>
      </c>
      <c r="C811" t="s">
        <v>24</v>
      </c>
      <c r="D811" t="s">
        <v>17</v>
      </c>
      <c r="E811">
        <v>0.125</v>
      </c>
      <c r="F811">
        <v>28</v>
      </c>
      <c r="G811">
        <v>3</v>
      </c>
      <c r="H811">
        <v>2017</v>
      </c>
      <c r="I811" t="s">
        <v>627</v>
      </c>
      <c r="J811" t="str">
        <f t="shared" si="24"/>
        <v>Preliminary</v>
      </c>
      <c r="K811">
        <f t="shared" si="25"/>
        <v>0</v>
      </c>
    </row>
    <row r="812" spans="1:11">
      <c r="A812" t="s">
        <v>29</v>
      </c>
      <c r="B812" t="s">
        <v>30</v>
      </c>
      <c r="C812" t="s">
        <v>24</v>
      </c>
      <c r="D812" t="s">
        <v>31</v>
      </c>
      <c r="E812">
        <v>0.125</v>
      </c>
      <c r="F812">
        <v>41</v>
      </c>
      <c r="G812">
        <v>1</v>
      </c>
      <c r="H812">
        <v>2017</v>
      </c>
      <c r="I812" t="s">
        <v>630</v>
      </c>
      <c r="J812" t="str">
        <f t="shared" si="24"/>
        <v>Preliminary</v>
      </c>
      <c r="K812">
        <f t="shared" si="25"/>
        <v>1</v>
      </c>
    </row>
    <row r="813" spans="1:11">
      <c r="A813" t="s">
        <v>631</v>
      </c>
      <c r="B813" t="s">
        <v>632</v>
      </c>
      <c r="C813" t="s">
        <v>12</v>
      </c>
      <c r="D813" t="s">
        <v>17</v>
      </c>
      <c r="E813">
        <v>0.125</v>
      </c>
      <c r="F813">
        <v>27</v>
      </c>
      <c r="G813">
        <v>2</v>
      </c>
      <c r="H813">
        <v>2017</v>
      </c>
      <c r="I813" t="s">
        <v>630</v>
      </c>
      <c r="J813" t="str">
        <f t="shared" si="24"/>
        <v>Preliminary</v>
      </c>
      <c r="K813">
        <f t="shared" si="25"/>
        <v>0</v>
      </c>
    </row>
    <row r="814" spans="1:11">
      <c r="A814" t="s">
        <v>157</v>
      </c>
      <c r="B814" t="s">
        <v>158</v>
      </c>
      <c r="C814" t="s">
        <v>80</v>
      </c>
      <c r="D814" t="s">
        <v>13</v>
      </c>
      <c r="E814">
        <v>0.125</v>
      </c>
      <c r="F814">
        <v>15</v>
      </c>
      <c r="G814">
        <v>3</v>
      </c>
      <c r="H814">
        <v>2017</v>
      </c>
      <c r="I814" t="s">
        <v>630</v>
      </c>
      <c r="J814" t="str">
        <f t="shared" si="24"/>
        <v>Preliminary</v>
      </c>
      <c r="K814">
        <f t="shared" si="25"/>
        <v>0</v>
      </c>
    </row>
    <row r="815" spans="1:11">
      <c r="A815" t="s">
        <v>160</v>
      </c>
      <c r="B815" t="s">
        <v>161</v>
      </c>
      <c r="C815" t="s">
        <v>24</v>
      </c>
      <c r="D815" t="s">
        <v>13</v>
      </c>
      <c r="E815">
        <v>0.125</v>
      </c>
      <c r="F815">
        <v>64</v>
      </c>
      <c r="G815">
        <v>1</v>
      </c>
      <c r="H815">
        <v>2017</v>
      </c>
      <c r="I815" t="s">
        <v>633</v>
      </c>
      <c r="J815" t="str">
        <f t="shared" si="24"/>
        <v>Preliminary</v>
      </c>
      <c r="K815">
        <f t="shared" si="25"/>
        <v>1</v>
      </c>
    </row>
    <row r="816" spans="1:11">
      <c r="A816" t="s">
        <v>634</v>
      </c>
      <c r="B816" t="s">
        <v>635</v>
      </c>
      <c r="C816" t="s">
        <v>50</v>
      </c>
      <c r="D816" t="s">
        <v>17</v>
      </c>
      <c r="E816">
        <v>0.125</v>
      </c>
      <c r="F816">
        <v>26</v>
      </c>
      <c r="G816">
        <v>2</v>
      </c>
      <c r="H816">
        <v>2017</v>
      </c>
      <c r="I816" t="s">
        <v>633</v>
      </c>
      <c r="J816" t="str">
        <f t="shared" si="24"/>
        <v>Preliminary</v>
      </c>
      <c r="K816">
        <f t="shared" si="25"/>
        <v>0</v>
      </c>
    </row>
    <row r="817" spans="1:11">
      <c r="A817" t="s">
        <v>636</v>
      </c>
      <c r="B817" t="s">
        <v>637</v>
      </c>
      <c r="C817" t="s">
        <v>39</v>
      </c>
      <c r="D817" t="s">
        <v>17</v>
      </c>
      <c r="E817">
        <v>0.125</v>
      </c>
      <c r="F817">
        <v>24</v>
      </c>
      <c r="G817">
        <v>3</v>
      </c>
      <c r="H817">
        <v>2017</v>
      </c>
      <c r="I817" t="s">
        <v>633</v>
      </c>
      <c r="J817" t="str">
        <f t="shared" si="24"/>
        <v>Preliminary</v>
      </c>
      <c r="K817">
        <f t="shared" si="25"/>
        <v>0</v>
      </c>
    </row>
    <row r="818" spans="1:11">
      <c r="A818" t="s">
        <v>505</v>
      </c>
      <c r="B818" t="s">
        <v>506</v>
      </c>
      <c r="C818" t="s">
        <v>39</v>
      </c>
      <c r="D818" t="s">
        <v>17</v>
      </c>
      <c r="E818">
        <v>0.125</v>
      </c>
      <c r="F818">
        <v>52</v>
      </c>
      <c r="G818">
        <v>1</v>
      </c>
      <c r="H818">
        <v>2017</v>
      </c>
      <c r="I818" t="s">
        <v>638</v>
      </c>
      <c r="J818" t="str">
        <f t="shared" si="24"/>
        <v>Preliminary</v>
      </c>
      <c r="K818">
        <f t="shared" si="25"/>
        <v>1</v>
      </c>
    </row>
    <row r="819" spans="1:11">
      <c r="A819" t="s">
        <v>485</v>
      </c>
      <c r="B819" t="s">
        <v>486</v>
      </c>
      <c r="C819" t="s">
        <v>39</v>
      </c>
      <c r="D819" t="s">
        <v>17</v>
      </c>
      <c r="E819">
        <v>0.125</v>
      </c>
      <c r="F819">
        <v>38</v>
      </c>
      <c r="G819">
        <v>2</v>
      </c>
      <c r="H819">
        <v>2017</v>
      </c>
      <c r="I819" t="s">
        <v>638</v>
      </c>
      <c r="J819" t="str">
        <f t="shared" si="24"/>
        <v>Preliminary</v>
      </c>
      <c r="K819">
        <f t="shared" si="25"/>
        <v>0</v>
      </c>
    </row>
    <row r="820" spans="1:11">
      <c r="A820" t="s">
        <v>639</v>
      </c>
      <c r="B820" t="s">
        <v>640</v>
      </c>
      <c r="C820" t="s">
        <v>24</v>
      </c>
      <c r="D820" t="s">
        <v>31</v>
      </c>
      <c r="E820">
        <v>0.125</v>
      </c>
      <c r="F820">
        <v>31</v>
      </c>
      <c r="G820">
        <v>3</v>
      </c>
      <c r="H820">
        <v>2017</v>
      </c>
      <c r="I820" t="s">
        <v>638</v>
      </c>
      <c r="J820" t="str">
        <f t="shared" si="24"/>
        <v>Preliminary</v>
      </c>
      <c r="K820">
        <f t="shared" si="25"/>
        <v>0</v>
      </c>
    </row>
    <row r="821" spans="1:11">
      <c r="A821" t="s">
        <v>387</v>
      </c>
      <c r="B821" t="s">
        <v>388</v>
      </c>
      <c r="C821" t="s">
        <v>50</v>
      </c>
      <c r="D821" t="s">
        <v>17</v>
      </c>
      <c r="E821">
        <v>0.125</v>
      </c>
      <c r="F821">
        <v>32</v>
      </c>
      <c r="G821">
        <v>1</v>
      </c>
      <c r="H821">
        <v>2017</v>
      </c>
      <c r="I821" t="s">
        <v>641</v>
      </c>
      <c r="J821" t="str">
        <f t="shared" si="24"/>
        <v>Preliminary</v>
      </c>
      <c r="K821">
        <f t="shared" si="25"/>
        <v>1</v>
      </c>
    </row>
    <row r="822" spans="1:11">
      <c r="A822" t="s">
        <v>642</v>
      </c>
      <c r="B822" t="s">
        <v>643</v>
      </c>
      <c r="C822" t="s">
        <v>39</v>
      </c>
      <c r="D822" t="s">
        <v>17</v>
      </c>
      <c r="E822">
        <v>0.125</v>
      </c>
      <c r="F822">
        <v>29</v>
      </c>
      <c r="G822">
        <v>2</v>
      </c>
      <c r="H822">
        <v>2017</v>
      </c>
      <c r="I822" t="s">
        <v>641</v>
      </c>
      <c r="J822" t="str">
        <f t="shared" si="24"/>
        <v>Preliminary</v>
      </c>
      <c r="K822">
        <f t="shared" si="25"/>
        <v>0</v>
      </c>
    </row>
    <row r="823" spans="1:11">
      <c r="A823" t="s">
        <v>644</v>
      </c>
      <c r="B823" t="s">
        <v>645</v>
      </c>
      <c r="C823" t="s">
        <v>24</v>
      </c>
      <c r="D823" t="s">
        <v>17</v>
      </c>
      <c r="E823">
        <v>0.125</v>
      </c>
      <c r="F823">
        <v>21</v>
      </c>
      <c r="G823">
        <v>3</v>
      </c>
      <c r="H823">
        <v>2017</v>
      </c>
      <c r="I823" t="s">
        <v>641</v>
      </c>
      <c r="J823" t="str">
        <f t="shared" si="24"/>
        <v>Preliminary</v>
      </c>
      <c r="K823">
        <f t="shared" si="25"/>
        <v>0</v>
      </c>
    </row>
    <row r="824" spans="1:11">
      <c r="A824" t="s">
        <v>165</v>
      </c>
      <c r="B824" t="s">
        <v>166</v>
      </c>
      <c r="C824" t="s">
        <v>24</v>
      </c>
      <c r="D824" t="s">
        <v>17</v>
      </c>
      <c r="E824">
        <v>0.125</v>
      </c>
      <c r="F824">
        <v>54</v>
      </c>
      <c r="G824">
        <v>1</v>
      </c>
      <c r="H824">
        <v>2017</v>
      </c>
      <c r="I824" t="s">
        <v>646</v>
      </c>
      <c r="J824" t="str">
        <f t="shared" si="24"/>
        <v>Preliminary</v>
      </c>
      <c r="K824">
        <f t="shared" si="25"/>
        <v>1</v>
      </c>
    </row>
    <row r="825" spans="1:11">
      <c r="A825" t="s">
        <v>137</v>
      </c>
      <c r="B825" t="s">
        <v>138</v>
      </c>
      <c r="C825" t="s">
        <v>27</v>
      </c>
      <c r="D825" t="s">
        <v>31</v>
      </c>
      <c r="E825">
        <v>0.125</v>
      </c>
      <c r="F825">
        <v>29</v>
      </c>
      <c r="G825">
        <v>2</v>
      </c>
      <c r="H825">
        <v>2017</v>
      </c>
      <c r="I825" t="s">
        <v>646</v>
      </c>
      <c r="J825" t="str">
        <f t="shared" si="24"/>
        <v>Preliminary</v>
      </c>
      <c r="K825">
        <f t="shared" si="25"/>
        <v>0</v>
      </c>
    </row>
    <row r="826" spans="1:11">
      <c r="A826" t="s">
        <v>302</v>
      </c>
      <c r="B826" t="s">
        <v>303</v>
      </c>
      <c r="C826" t="s">
        <v>195</v>
      </c>
      <c r="D826" t="s">
        <v>17</v>
      </c>
      <c r="E826">
        <v>0.125</v>
      </c>
      <c r="F826">
        <v>22</v>
      </c>
      <c r="G826">
        <v>3</v>
      </c>
      <c r="H826">
        <v>2017</v>
      </c>
      <c r="I826" t="s">
        <v>646</v>
      </c>
      <c r="J826" t="str">
        <f t="shared" si="24"/>
        <v>Preliminary</v>
      </c>
      <c r="K826">
        <f t="shared" si="25"/>
        <v>0</v>
      </c>
    </row>
    <row r="827" spans="1:11">
      <c r="A827" t="s">
        <v>78</v>
      </c>
      <c r="B827" t="s">
        <v>79</v>
      </c>
      <c r="C827" t="s">
        <v>80</v>
      </c>
      <c r="D827" t="s">
        <v>17</v>
      </c>
      <c r="E827">
        <v>0.125</v>
      </c>
      <c r="F827">
        <v>49</v>
      </c>
      <c r="G827">
        <v>1</v>
      </c>
      <c r="H827">
        <v>2017</v>
      </c>
      <c r="I827" t="s">
        <v>647</v>
      </c>
      <c r="J827" t="str">
        <f t="shared" si="24"/>
        <v>Preliminary</v>
      </c>
      <c r="K827">
        <f t="shared" si="25"/>
        <v>1</v>
      </c>
    </row>
    <row r="828" spans="1:11">
      <c r="A828" t="s">
        <v>508</v>
      </c>
      <c r="B828" t="s">
        <v>509</v>
      </c>
      <c r="C828" t="s">
        <v>24</v>
      </c>
      <c r="D828" t="s">
        <v>17</v>
      </c>
      <c r="E828">
        <v>0.125</v>
      </c>
      <c r="F828">
        <v>44</v>
      </c>
      <c r="G828">
        <v>2</v>
      </c>
      <c r="H828">
        <v>2017</v>
      </c>
      <c r="I828" t="s">
        <v>647</v>
      </c>
      <c r="J828" t="str">
        <f t="shared" si="24"/>
        <v>Preliminary</v>
      </c>
      <c r="K828">
        <f t="shared" si="25"/>
        <v>0</v>
      </c>
    </row>
    <row r="829" spans="1:11">
      <c r="A829" t="s">
        <v>57</v>
      </c>
      <c r="B829" t="s">
        <v>58</v>
      </c>
      <c r="C829" t="s">
        <v>20</v>
      </c>
      <c r="D829" t="s">
        <v>13</v>
      </c>
      <c r="E829">
        <v>0.125</v>
      </c>
      <c r="F829">
        <v>39</v>
      </c>
      <c r="G829">
        <v>3</v>
      </c>
      <c r="H829">
        <v>2017</v>
      </c>
      <c r="I829" t="s">
        <v>647</v>
      </c>
      <c r="J829" t="str">
        <f t="shared" si="24"/>
        <v>Preliminary</v>
      </c>
      <c r="K829">
        <f t="shared" si="25"/>
        <v>0</v>
      </c>
    </row>
    <row r="830" spans="1:11">
      <c r="A830" t="s">
        <v>181</v>
      </c>
      <c r="B830" t="s">
        <v>182</v>
      </c>
      <c r="C830" t="s">
        <v>20</v>
      </c>
      <c r="D830" t="s">
        <v>17</v>
      </c>
      <c r="E830">
        <v>0.125</v>
      </c>
      <c r="F830">
        <v>44</v>
      </c>
      <c r="G830">
        <v>1</v>
      </c>
      <c r="H830">
        <v>2017</v>
      </c>
      <c r="I830" t="s">
        <v>648</v>
      </c>
      <c r="J830" t="str">
        <f t="shared" si="24"/>
        <v>Preliminary</v>
      </c>
      <c r="K830">
        <f t="shared" si="25"/>
        <v>1</v>
      </c>
    </row>
    <row r="831" spans="1:11">
      <c r="A831" t="s">
        <v>222</v>
      </c>
      <c r="B831" t="s">
        <v>223</v>
      </c>
      <c r="C831" t="s">
        <v>20</v>
      </c>
      <c r="D831" t="s">
        <v>17</v>
      </c>
      <c r="E831">
        <v>0.125</v>
      </c>
      <c r="F831">
        <v>22</v>
      </c>
      <c r="G831">
        <v>2</v>
      </c>
      <c r="H831">
        <v>2017</v>
      </c>
      <c r="I831" t="s">
        <v>648</v>
      </c>
      <c r="J831" t="str">
        <f t="shared" si="24"/>
        <v>Preliminary</v>
      </c>
      <c r="K831">
        <f t="shared" si="25"/>
        <v>0</v>
      </c>
    </row>
    <row r="832" spans="1:11">
      <c r="A832" t="s">
        <v>135</v>
      </c>
      <c r="B832" t="s">
        <v>136</v>
      </c>
      <c r="C832" t="s">
        <v>27</v>
      </c>
      <c r="D832" t="s">
        <v>17</v>
      </c>
      <c r="E832">
        <v>0.125</v>
      </c>
      <c r="F832">
        <v>11</v>
      </c>
      <c r="G832">
        <v>3</v>
      </c>
      <c r="H832">
        <v>2017</v>
      </c>
      <c r="I832" t="s">
        <v>648</v>
      </c>
      <c r="J832" t="str">
        <f t="shared" si="24"/>
        <v>Preliminary</v>
      </c>
      <c r="K832">
        <f t="shared" si="25"/>
        <v>0</v>
      </c>
    </row>
    <row r="833" spans="1:11">
      <c r="A833" t="s">
        <v>140</v>
      </c>
      <c r="B833" t="s">
        <v>141</v>
      </c>
      <c r="C833" t="s">
        <v>24</v>
      </c>
      <c r="D833" t="s">
        <v>17</v>
      </c>
      <c r="E833">
        <v>0.125</v>
      </c>
      <c r="F833">
        <v>39</v>
      </c>
      <c r="G833">
        <v>1</v>
      </c>
      <c r="H833">
        <v>2017</v>
      </c>
      <c r="I833" t="s">
        <v>649</v>
      </c>
      <c r="J833" t="str">
        <f t="shared" si="24"/>
        <v>Preliminary</v>
      </c>
      <c r="K833">
        <f t="shared" si="25"/>
        <v>1</v>
      </c>
    </row>
    <row r="834" spans="1:11">
      <c r="A834" t="s">
        <v>376</v>
      </c>
      <c r="B834" t="s">
        <v>377</v>
      </c>
      <c r="C834" t="s">
        <v>20</v>
      </c>
      <c r="D834" t="s">
        <v>17</v>
      </c>
      <c r="E834">
        <v>0.125</v>
      </c>
      <c r="F834">
        <v>32</v>
      </c>
      <c r="G834">
        <v>2</v>
      </c>
      <c r="H834">
        <v>2017</v>
      </c>
      <c r="I834" t="s">
        <v>649</v>
      </c>
      <c r="J834" t="str">
        <f t="shared" si="24"/>
        <v>Preliminary</v>
      </c>
      <c r="K834">
        <f t="shared" si="25"/>
        <v>0</v>
      </c>
    </row>
    <row r="835" spans="1:11">
      <c r="A835" t="s">
        <v>54</v>
      </c>
      <c r="B835" t="s">
        <v>55</v>
      </c>
      <c r="C835" t="s">
        <v>20</v>
      </c>
      <c r="D835" t="s">
        <v>17</v>
      </c>
      <c r="E835">
        <v>0.125</v>
      </c>
      <c r="F835">
        <v>29</v>
      </c>
      <c r="G835">
        <v>3</v>
      </c>
      <c r="H835">
        <v>2017</v>
      </c>
      <c r="I835" t="s">
        <v>649</v>
      </c>
      <c r="J835" t="str">
        <f t="shared" ref="J835:J898" si="26">IF(E835=1,"Final",IF(E835=0.5,"Semifinal",IF(E835=0.25,"Quarterfinal",IF(E835=0.125,"Preliminary","Unknown"))))</f>
        <v>Preliminary</v>
      </c>
      <c r="K835">
        <f t="shared" ref="K835:K898" si="27">IF(G835=1,1,0)</f>
        <v>0</v>
      </c>
    </row>
    <row r="836" spans="1:11">
      <c r="A836" t="s">
        <v>89</v>
      </c>
      <c r="B836" t="s">
        <v>90</v>
      </c>
      <c r="C836" t="s">
        <v>50</v>
      </c>
      <c r="D836" t="s">
        <v>31</v>
      </c>
      <c r="E836">
        <v>0.125</v>
      </c>
      <c r="F836">
        <v>43</v>
      </c>
      <c r="G836">
        <v>1</v>
      </c>
      <c r="H836">
        <v>2017</v>
      </c>
      <c r="I836" t="s">
        <v>650</v>
      </c>
      <c r="J836" t="str">
        <f t="shared" si="26"/>
        <v>Preliminary</v>
      </c>
      <c r="K836">
        <f t="shared" si="27"/>
        <v>1</v>
      </c>
    </row>
    <row r="837" spans="1:11">
      <c r="A837" t="s">
        <v>651</v>
      </c>
      <c r="B837" t="s">
        <v>652</v>
      </c>
      <c r="C837" t="s">
        <v>12</v>
      </c>
      <c r="D837" t="s">
        <v>17</v>
      </c>
      <c r="E837">
        <v>0.125</v>
      </c>
      <c r="F837">
        <v>25</v>
      </c>
      <c r="G837">
        <v>2</v>
      </c>
      <c r="H837">
        <v>2017</v>
      </c>
      <c r="I837" t="s">
        <v>650</v>
      </c>
      <c r="J837" t="str">
        <f t="shared" si="26"/>
        <v>Preliminary</v>
      </c>
      <c r="K837">
        <f t="shared" si="27"/>
        <v>0</v>
      </c>
    </row>
    <row r="838" spans="1:11">
      <c r="A838" t="s">
        <v>459</v>
      </c>
      <c r="B838" t="s">
        <v>460</v>
      </c>
      <c r="C838" t="s">
        <v>177</v>
      </c>
      <c r="D838" t="s">
        <v>17</v>
      </c>
      <c r="E838">
        <v>0.125</v>
      </c>
      <c r="F838">
        <v>8</v>
      </c>
      <c r="G838">
        <v>3</v>
      </c>
      <c r="H838">
        <v>2017</v>
      </c>
      <c r="I838" t="s">
        <v>650</v>
      </c>
      <c r="J838" t="str">
        <f t="shared" si="26"/>
        <v>Preliminary</v>
      </c>
      <c r="K838">
        <f t="shared" si="27"/>
        <v>0</v>
      </c>
    </row>
    <row r="839" spans="1:11">
      <c r="A839" t="s">
        <v>199</v>
      </c>
      <c r="B839" t="s">
        <v>200</v>
      </c>
      <c r="C839" t="s">
        <v>39</v>
      </c>
      <c r="D839" t="s">
        <v>31</v>
      </c>
      <c r="E839">
        <v>0.125</v>
      </c>
      <c r="F839">
        <v>42</v>
      </c>
      <c r="G839">
        <v>1</v>
      </c>
      <c r="H839">
        <v>2017</v>
      </c>
      <c r="I839" t="s">
        <v>653</v>
      </c>
      <c r="J839" t="str">
        <f t="shared" si="26"/>
        <v>Preliminary</v>
      </c>
      <c r="K839">
        <f t="shared" si="27"/>
        <v>1</v>
      </c>
    </row>
    <row r="840" spans="1:11">
      <c r="A840" t="s">
        <v>212</v>
      </c>
      <c r="B840" t="s">
        <v>213</v>
      </c>
      <c r="C840" t="s">
        <v>20</v>
      </c>
      <c r="D840" t="s">
        <v>17</v>
      </c>
      <c r="E840">
        <v>0.125</v>
      </c>
      <c r="F840">
        <v>29</v>
      </c>
      <c r="G840">
        <v>2</v>
      </c>
      <c r="H840">
        <v>2017</v>
      </c>
      <c r="I840" t="s">
        <v>653</v>
      </c>
      <c r="J840" t="str">
        <f t="shared" si="26"/>
        <v>Preliminary</v>
      </c>
      <c r="K840">
        <f t="shared" si="27"/>
        <v>0</v>
      </c>
    </row>
    <row r="841" spans="1:11">
      <c r="A841" t="s">
        <v>314</v>
      </c>
      <c r="B841" t="s">
        <v>315</v>
      </c>
      <c r="C841" t="s">
        <v>20</v>
      </c>
      <c r="D841" t="s">
        <v>17</v>
      </c>
      <c r="E841">
        <v>0.125</v>
      </c>
      <c r="F841">
        <v>26</v>
      </c>
      <c r="G841">
        <v>3</v>
      </c>
      <c r="H841">
        <v>2017</v>
      </c>
      <c r="I841" t="s">
        <v>653</v>
      </c>
      <c r="J841" t="str">
        <f t="shared" si="26"/>
        <v>Preliminary</v>
      </c>
      <c r="K841">
        <f t="shared" si="27"/>
        <v>0</v>
      </c>
    </row>
    <row r="842" spans="1:11">
      <c r="A842" t="s">
        <v>160</v>
      </c>
      <c r="B842" t="s">
        <v>161</v>
      </c>
      <c r="C842" t="s">
        <v>24</v>
      </c>
      <c r="D842" t="s">
        <v>13</v>
      </c>
      <c r="E842">
        <v>1</v>
      </c>
      <c r="F842">
        <v>44</v>
      </c>
      <c r="G842">
        <v>1</v>
      </c>
      <c r="H842">
        <v>2016</v>
      </c>
      <c r="I842" t="s">
        <v>654</v>
      </c>
      <c r="J842" t="str">
        <f t="shared" si="26"/>
        <v>Final</v>
      </c>
      <c r="K842">
        <f t="shared" si="27"/>
        <v>1</v>
      </c>
    </row>
    <row r="843" spans="1:11">
      <c r="A843" t="s">
        <v>18</v>
      </c>
      <c r="B843" t="s">
        <v>19</v>
      </c>
      <c r="C843" t="s">
        <v>20</v>
      </c>
      <c r="D843" t="s">
        <v>13</v>
      </c>
      <c r="E843">
        <v>1</v>
      </c>
      <c r="F843">
        <v>38</v>
      </c>
      <c r="G843">
        <v>2</v>
      </c>
      <c r="H843">
        <v>2016</v>
      </c>
      <c r="I843" t="s">
        <v>654</v>
      </c>
      <c r="J843" t="str">
        <f t="shared" si="26"/>
        <v>Final</v>
      </c>
      <c r="K843">
        <f t="shared" si="27"/>
        <v>0</v>
      </c>
    </row>
    <row r="844" spans="1:11">
      <c r="A844" t="s">
        <v>22</v>
      </c>
      <c r="B844" t="s">
        <v>23</v>
      </c>
      <c r="C844" t="s">
        <v>24</v>
      </c>
      <c r="D844" t="s">
        <v>13</v>
      </c>
      <c r="E844">
        <v>1</v>
      </c>
      <c r="F844">
        <v>37</v>
      </c>
      <c r="G844">
        <v>3</v>
      </c>
      <c r="H844">
        <v>2016</v>
      </c>
      <c r="I844" t="s">
        <v>654</v>
      </c>
      <c r="J844" t="str">
        <f t="shared" si="26"/>
        <v>Final</v>
      </c>
      <c r="K844">
        <f t="shared" si="27"/>
        <v>0</v>
      </c>
    </row>
    <row r="845" spans="1:11">
      <c r="A845" t="s">
        <v>160</v>
      </c>
      <c r="B845" t="s">
        <v>161</v>
      </c>
      <c r="C845" t="s">
        <v>24</v>
      </c>
      <c r="D845" t="s">
        <v>13</v>
      </c>
      <c r="E845">
        <v>0.5</v>
      </c>
      <c r="F845">
        <v>44</v>
      </c>
      <c r="G845">
        <v>1</v>
      </c>
      <c r="H845">
        <v>2016</v>
      </c>
      <c r="I845" t="s">
        <v>655</v>
      </c>
      <c r="J845" t="str">
        <f t="shared" si="26"/>
        <v>Semifinal</v>
      </c>
      <c r="K845">
        <f t="shared" si="27"/>
        <v>1</v>
      </c>
    </row>
    <row r="846" spans="1:11">
      <c r="A846" t="s">
        <v>46</v>
      </c>
      <c r="B846" t="s">
        <v>47</v>
      </c>
      <c r="C846" t="s">
        <v>12</v>
      </c>
      <c r="D846" t="s">
        <v>13</v>
      </c>
      <c r="E846">
        <v>0.5</v>
      </c>
      <c r="F846">
        <v>40</v>
      </c>
      <c r="G846">
        <v>2</v>
      </c>
      <c r="H846">
        <v>2016</v>
      </c>
      <c r="I846" t="s">
        <v>655</v>
      </c>
      <c r="J846" t="str">
        <f t="shared" si="26"/>
        <v>Semifinal</v>
      </c>
      <c r="K846">
        <f t="shared" si="27"/>
        <v>0</v>
      </c>
    </row>
    <row r="847" spans="1:11">
      <c r="A847" t="s">
        <v>86</v>
      </c>
      <c r="B847" t="s">
        <v>87</v>
      </c>
      <c r="C847" t="s">
        <v>20</v>
      </c>
      <c r="D847" t="s">
        <v>17</v>
      </c>
      <c r="E847">
        <v>0.5</v>
      </c>
      <c r="F847">
        <v>31</v>
      </c>
      <c r="G847">
        <v>3</v>
      </c>
      <c r="H847">
        <v>2016</v>
      </c>
      <c r="I847" t="s">
        <v>655</v>
      </c>
      <c r="J847" t="str">
        <f t="shared" si="26"/>
        <v>Semifinal</v>
      </c>
      <c r="K847">
        <f t="shared" si="27"/>
        <v>0</v>
      </c>
    </row>
    <row r="848" spans="1:11">
      <c r="A848" t="s">
        <v>18</v>
      </c>
      <c r="B848" t="s">
        <v>19</v>
      </c>
      <c r="C848" t="s">
        <v>20</v>
      </c>
      <c r="D848" t="s">
        <v>13</v>
      </c>
      <c r="E848">
        <v>0.5</v>
      </c>
      <c r="F848">
        <v>56</v>
      </c>
      <c r="G848">
        <v>1</v>
      </c>
      <c r="H848">
        <v>2016</v>
      </c>
      <c r="I848" t="s">
        <v>656</v>
      </c>
      <c r="J848" t="str">
        <f t="shared" si="26"/>
        <v>Semifinal</v>
      </c>
      <c r="K848">
        <f t="shared" si="27"/>
        <v>1</v>
      </c>
    </row>
    <row r="849" spans="1:11">
      <c r="A849" t="s">
        <v>52</v>
      </c>
      <c r="B849" t="s">
        <v>53</v>
      </c>
      <c r="C849" t="s">
        <v>20</v>
      </c>
      <c r="D849" t="s">
        <v>13</v>
      </c>
      <c r="E849">
        <v>0.5</v>
      </c>
      <c r="F849">
        <v>53</v>
      </c>
      <c r="G849">
        <v>2</v>
      </c>
      <c r="H849">
        <v>2016</v>
      </c>
      <c r="I849" t="s">
        <v>656</v>
      </c>
      <c r="J849" t="str">
        <f t="shared" si="26"/>
        <v>Semifinal</v>
      </c>
      <c r="K849">
        <f t="shared" si="27"/>
        <v>0</v>
      </c>
    </row>
    <row r="850" spans="1:11">
      <c r="A850" t="s">
        <v>207</v>
      </c>
      <c r="B850" t="s">
        <v>208</v>
      </c>
      <c r="C850" t="s">
        <v>20</v>
      </c>
      <c r="D850" t="s">
        <v>13</v>
      </c>
      <c r="E850">
        <v>0.5</v>
      </c>
      <c r="F850">
        <v>34</v>
      </c>
      <c r="G850">
        <v>3</v>
      </c>
      <c r="H850">
        <v>2016</v>
      </c>
      <c r="I850" t="s">
        <v>656</v>
      </c>
      <c r="J850" t="str">
        <f t="shared" si="26"/>
        <v>Semifinal</v>
      </c>
      <c r="K850">
        <f t="shared" si="27"/>
        <v>0</v>
      </c>
    </row>
    <row r="851" spans="1:11">
      <c r="A851" t="s">
        <v>22</v>
      </c>
      <c r="B851" t="s">
        <v>23</v>
      </c>
      <c r="C851" t="s">
        <v>24</v>
      </c>
      <c r="D851" t="s">
        <v>13</v>
      </c>
      <c r="E851">
        <v>0.5</v>
      </c>
      <c r="F851">
        <v>54</v>
      </c>
      <c r="G851">
        <v>1</v>
      </c>
      <c r="H851">
        <v>2016</v>
      </c>
      <c r="I851" t="s">
        <v>657</v>
      </c>
      <c r="J851" t="str">
        <f t="shared" si="26"/>
        <v>Semifinal</v>
      </c>
      <c r="K851">
        <f t="shared" si="27"/>
        <v>1</v>
      </c>
    </row>
    <row r="852" spans="1:11">
      <c r="A852" t="s">
        <v>178</v>
      </c>
      <c r="B852" t="s">
        <v>179</v>
      </c>
      <c r="C852" t="s">
        <v>12</v>
      </c>
      <c r="D852" t="s">
        <v>13</v>
      </c>
      <c r="E852">
        <v>0.5</v>
      </c>
      <c r="F852">
        <v>47</v>
      </c>
      <c r="G852">
        <v>2</v>
      </c>
      <c r="H852">
        <v>2016</v>
      </c>
      <c r="I852" t="s">
        <v>657</v>
      </c>
      <c r="J852" t="str">
        <f t="shared" si="26"/>
        <v>Semifinal</v>
      </c>
      <c r="K852">
        <f t="shared" si="27"/>
        <v>0</v>
      </c>
    </row>
    <row r="853" spans="1:11">
      <c r="A853" t="s">
        <v>140</v>
      </c>
      <c r="B853" t="s">
        <v>141</v>
      </c>
      <c r="C853" t="s">
        <v>24</v>
      </c>
      <c r="D853" t="s">
        <v>17</v>
      </c>
      <c r="E853">
        <v>0.5</v>
      </c>
      <c r="F853">
        <v>25</v>
      </c>
      <c r="G853">
        <v>3</v>
      </c>
      <c r="H853">
        <v>2016</v>
      </c>
      <c r="I853" t="s">
        <v>657</v>
      </c>
      <c r="J853" t="str">
        <f t="shared" si="26"/>
        <v>Semifinal</v>
      </c>
      <c r="K853">
        <f t="shared" si="27"/>
        <v>0</v>
      </c>
    </row>
    <row r="854" spans="1:11">
      <c r="A854" t="s">
        <v>160</v>
      </c>
      <c r="B854" t="s">
        <v>161</v>
      </c>
      <c r="C854" t="s">
        <v>24</v>
      </c>
      <c r="D854" t="s">
        <v>13</v>
      </c>
      <c r="E854">
        <v>0.25</v>
      </c>
      <c r="F854">
        <v>49</v>
      </c>
      <c r="G854">
        <v>1</v>
      </c>
      <c r="H854">
        <v>2016</v>
      </c>
      <c r="I854" t="s">
        <v>658</v>
      </c>
      <c r="J854" t="str">
        <f t="shared" si="26"/>
        <v>Quarterfinal</v>
      </c>
      <c r="K854">
        <f t="shared" si="27"/>
        <v>1</v>
      </c>
    </row>
    <row r="855" spans="1:11">
      <c r="A855" t="s">
        <v>78</v>
      </c>
      <c r="B855" t="s">
        <v>79</v>
      </c>
      <c r="C855" t="s">
        <v>80</v>
      </c>
      <c r="D855" t="s">
        <v>17</v>
      </c>
      <c r="E855">
        <v>0.25</v>
      </c>
      <c r="F855">
        <v>43</v>
      </c>
      <c r="G855">
        <v>2</v>
      </c>
      <c r="H855">
        <v>2016</v>
      </c>
      <c r="I855" t="s">
        <v>658</v>
      </c>
      <c r="J855" t="str">
        <f t="shared" si="26"/>
        <v>Quarterfinal</v>
      </c>
      <c r="K855">
        <f t="shared" si="27"/>
        <v>0</v>
      </c>
    </row>
    <row r="856" spans="1:11">
      <c r="A856" t="s">
        <v>642</v>
      </c>
      <c r="B856" t="s">
        <v>643</v>
      </c>
      <c r="C856" t="s">
        <v>39</v>
      </c>
      <c r="D856" t="s">
        <v>17</v>
      </c>
      <c r="E856">
        <v>0.25</v>
      </c>
      <c r="F856">
        <v>36</v>
      </c>
      <c r="G856">
        <v>3</v>
      </c>
      <c r="H856">
        <v>2016</v>
      </c>
      <c r="I856" t="s">
        <v>658</v>
      </c>
      <c r="J856" t="str">
        <f t="shared" si="26"/>
        <v>Quarterfinal</v>
      </c>
      <c r="K856">
        <f t="shared" si="27"/>
        <v>0</v>
      </c>
    </row>
    <row r="857" spans="1:11">
      <c r="A857" t="s">
        <v>46</v>
      </c>
      <c r="B857" t="s">
        <v>47</v>
      </c>
      <c r="C857" t="s">
        <v>12</v>
      </c>
      <c r="D857" t="s">
        <v>13</v>
      </c>
      <c r="E857">
        <v>0.25</v>
      </c>
      <c r="F857">
        <v>60</v>
      </c>
      <c r="G857">
        <v>1</v>
      </c>
      <c r="H857">
        <v>2016</v>
      </c>
      <c r="I857" t="s">
        <v>659</v>
      </c>
      <c r="J857" t="str">
        <f t="shared" si="26"/>
        <v>Quarterfinal</v>
      </c>
      <c r="K857">
        <f t="shared" si="27"/>
        <v>1</v>
      </c>
    </row>
    <row r="858" spans="1:11">
      <c r="A858" t="s">
        <v>314</v>
      </c>
      <c r="B858" t="s">
        <v>315</v>
      </c>
      <c r="C858" t="s">
        <v>20</v>
      </c>
      <c r="D858" t="s">
        <v>17</v>
      </c>
      <c r="E858">
        <v>0.25</v>
      </c>
      <c r="F858">
        <v>40</v>
      </c>
      <c r="G858">
        <v>2</v>
      </c>
      <c r="H858">
        <v>2016</v>
      </c>
      <c r="I858" t="s">
        <v>659</v>
      </c>
      <c r="J858" t="str">
        <f t="shared" si="26"/>
        <v>Quarterfinal</v>
      </c>
      <c r="K858">
        <f t="shared" si="27"/>
        <v>0</v>
      </c>
    </row>
    <row r="859" spans="1:11">
      <c r="A859" t="s">
        <v>546</v>
      </c>
      <c r="B859" t="s">
        <v>547</v>
      </c>
      <c r="C859" t="s">
        <v>50</v>
      </c>
      <c r="D859" t="s">
        <v>17</v>
      </c>
      <c r="E859">
        <v>0.25</v>
      </c>
      <c r="F859">
        <v>38</v>
      </c>
      <c r="G859">
        <v>3</v>
      </c>
      <c r="H859">
        <v>2016</v>
      </c>
      <c r="I859" t="s">
        <v>659</v>
      </c>
      <c r="J859" t="str">
        <f t="shared" si="26"/>
        <v>Quarterfinal</v>
      </c>
      <c r="K859">
        <f t="shared" si="27"/>
        <v>0</v>
      </c>
    </row>
    <row r="860" spans="1:11">
      <c r="A860" t="s">
        <v>86</v>
      </c>
      <c r="B860" t="s">
        <v>87</v>
      </c>
      <c r="C860" t="s">
        <v>20</v>
      </c>
      <c r="D860" t="s">
        <v>17</v>
      </c>
      <c r="E860">
        <v>0.25</v>
      </c>
      <c r="F860">
        <v>66</v>
      </c>
      <c r="G860">
        <v>1</v>
      </c>
      <c r="H860">
        <v>2016</v>
      </c>
      <c r="I860" t="s">
        <v>660</v>
      </c>
      <c r="J860" t="str">
        <f t="shared" si="26"/>
        <v>Quarterfinal</v>
      </c>
      <c r="K860">
        <f t="shared" si="27"/>
        <v>1</v>
      </c>
    </row>
    <row r="861" spans="1:11">
      <c r="A861" t="s">
        <v>181</v>
      </c>
      <c r="B861" t="s">
        <v>182</v>
      </c>
      <c r="C861" t="s">
        <v>20</v>
      </c>
      <c r="D861" t="s">
        <v>17</v>
      </c>
      <c r="E861">
        <v>0.25</v>
      </c>
      <c r="F861">
        <v>39</v>
      </c>
      <c r="G861">
        <v>2</v>
      </c>
      <c r="H861">
        <v>2016</v>
      </c>
      <c r="I861" t="s">
        <v>660</v>
      </c>
      <c r="J861" t="str">
        <f t="shared" si="26"/>
        <v>Quarterfinal</v>
      </c>
      <c r="K861">
        <f t="shared" si="27"/>
        <v>0</v>
      </c>
    </row>
    <row r="862" spans="1:11">
      <c r="A862" t="s">
        <v>459</v>
      </c>
      <c r="B862" t="s">
        <v>460</v>
      </c>
      <c r="C862" t="s">
        <v>177</v>
      </c>
      <c r="D862" t="s">
        <v>17</v>
      </c>
      <c r="E862">
        <v>0.25</v>
      </c>
      <c r="F862">
        <v>39</v>
      </c>
      <c r="G862">
        <v>3</v>
      </c>
      <c r="H862">
        <v>2016</v>
      </c>
      <c r="I862" t="s">
        <v>660</v>
      </c>
      <c r="J862" t="str">
        <f t="shared" si="26"/>
        <v>Quarterfinal</v>
      </c>
      <c r="K862">
        <f t="shared" si="27"/>
        <v>0</v>
      </c>
    </row>
    <row r="863" spans="1:11">
      <c r="A863" t="s">
        <v>18</v>
      </c>
      <c r="B863" t="s">
        <v>19</v>
      </c>
      <c r="C863" t="s">
        <v>20</v>
      </c>
      <c r="D863" t="s">
        <v>13</v>
      </c>
      <c r="E863">
        <v>0.25</v>
      </c>
      <c r="F863">
        <v>54</v>
      </c>
      <c r="G863">
        <v>1</v>
      </c>
      <c r="H863">
        <v>2016</v>
      </c>
      <c r="I863" t="s">
        <v>661</v>
      </c>
      <c r="J863" t="str">
        <f t="shared" si="26"/>
        <v>Quarterfinal</v>
      </c>
      <c r="K863">
        <f t="shared" si="27"/>
        <v>1</v>
      </c>
    </row>
    <row r="864" spans="1:11">
      <c r="A864" t="s">
        <v>481</v>
      </c>
      <c r="B864" t="s">
        <v>482</v>
      </c>
      <c r="C864" t="s">
        <v>12</v>
      </c>
      <c r="D864" t="s">
        <v>17</v>
      </c>
      <c r="E864">
        <v>0.25</v>
      </c>
      <c r="F864">
        <v>43</v>
      </c>
      <c r="G864">
        <v>2</v>
      </c>
      <c r="H864">
        <v>2016</v>
      </c>
      <c r="I864" t="s">
        <v>661</v>
      </c>
      <c r="J864" t="str">
        <f t="shared" si="26"/>
        <v>Quarterfinal</v>
      </c>
      <c r="K864">
        <f t="shared" si="27"/>
        <v>0</v>
      </c>
    </row>
    <row r="865" spans="1:11">
      <c r="A865" t="s">
        <v>48</v>
      </c>
      <c r="B865" t="s">
        <v>49</v>
      </c>
      <c r="C865" t="s">
        <v>50</v>
      </c>
      <c r="D865" t="s">
        <v>13</v>
      </c>
      <c r="E865">
        <v>0.25</v>
      </c>
      <c r="F865">
        <v>31</v>
      </c>
      <c r="G865">
        <v>3</v>
      </c>
      <c r="H865">
        <v>2016</v>
      </c>
      <c r="I865" t="s">
        <v>661</v>
      </c>
      <c r="J865" t="str">
        <f t="shared" si="26"/>
        <v>Quarterfinal</v>
      </c>
      <c r="K865">
        <f t="shared" si="27"/>
        <v>0</v>
      </c>
    </row>
    <row r="866" spans="1:11">
      <c r="A866" t="s">
        <v>52</v>
      </c>
      <c r="B866" t="s">
        <v>53</v>
      </c>
      <c r="C866" t="s">
        <v>20</v>
      </c>
      <c r="D866" t="s">
        <v>13</v>
      </c>
      <c r="E866">
        <v>0.25</v>
      </c>
      <c r="F866">
        <v>47</v>
      </c>
      <c r="G866">
        <v>1</v>
      </c>
      <c r="H866">
        <v>2016</v>
      </c>
      <c r="I866" t="s">
        <v>662</v>
      </c>
      <c r="J866" t="str">
        <f t="shared" si="26"/>
        <v>Quarterfinal</v>
      </c>
      <c r="K866">
        <f t="shared" si="27"/>
        <v>1</v>
      </c>
    </row>
    <row r="867" spans="1:11">
      <c r="A867" t="s">
        <v>202</v>
      </c>
      <c r="B867" t="s">
        <v>203</v>
      </c>
      <c r="C867" t="s">
        <v>39</v>
      </c>
      <c r="D867" t="s">
        <v>13</v>
      </c>
      <c r="E867">
        <v>0.25</v>
      </c>
      <c r="F867">
        <v>46</v>
      </c>
      <c r="G867">
        <v>2</v>
      </c>
      <c r="H867">
        <v>2016</v>
      </c>
      <c r="I867" t="s">
        <v>662</v>
      </c>
      <c r="J867" t="str">
        <f t="shared" si="26"/>
        <v>Quarterfinal</v>
      </c>
      <c r="K867">
        <f t="shared" si="27"/>
        <v>0</v>
      </c>
    </row>
    <row r="868" spans="1:11">
      <c r="A868" t="s">
        <v>127</v>
      </c>
      <c r="B868" t="s">
        <v>128</v>
      </c>
      <c r="C868" t="s">
        <v>39</v>
      </c>
      <c r="D868" t="s">
        <v>17</v>
      </c>
      <c r="E868">
        <v>0.25</v>
      </c>
      <c r="F868">
        <v>39</v>
      </c>
      <c r="G868">
        <v>3</v>
      </c>
      <c r="H868">
        <v>2016</v>
      </c>
      <c r="I868" t="s">
        <v>662</v>
      </c>
      <c r="J868" t="str">
        <f t="shared" si="26"/>
        <v>Quarterfinal</v>
      </c>
      <c r="K868">
        <f t="shared" si="27"/>
        <v>0</v>
      </c>
    </row>
    <row r="869" spans="1:11">
      <c r="A869" t="s">
        <v>207</v>
      </c>
      <c r="B869" t="s">
        <v>208</v>
      </c>
      <c r="C869" t="s">
        <v>20</v>
      </c>
      <c r="D869" t="s">
        <v>13</v>
      </c>
      <c r="E869">
        <v>0.25</v>
      </c>
      <c r="F869">
        <v>46</v>
      </c>
      <c r="G869">
        <v>1</v>
      </c>
      <c r="H869">
        <v>2016</v>
      </c>
      <c r="I869" t="s">
        <v>663</v>
      </c>
      <c r="J869" t="str">
        <f t="shared" si="26"/>
        <v>Quarterfinal</v>
      </c>
      <c r="K869">
        <f t="shared" si="27"/>
        <v>1</v>
      </c>
    </row>
    <row r="870" spans="1:11">
      <c r="A870" t="s">
        <v>165</v>
      </c>
      <c r="B870" t="s">
        <v>166</v>
      </c>
      <c r="C870" t="s">
        <v>24</v>
      </c>
      <c r="D870" t="s">
        <v>17</v>
      </c>
      <c r="E870">
        <v>0.25</v>
      </c>
      <c r="F870">
        <v>44</v>
      </c>
      <c r="G870">
        <v>2</v>
      </c>
      <c r="H870">
        <v>2016</v>
      </c>
      <c r="I870" t="s">
        <v>663</v>
      </c>
      <c r="J870" t="str">
        <f t="shared" si="26"/>
        <v>Quarterfinal</v>
      </c>
      <c r="K870">
        <f t="shared" si="27"/>
        <v>0</v>
      </c>
    </row>
    <row r="871" spans="1:11">
      <c r="A871" t="s">
        <v>257</v>
      </c>
      <c r="B871" t="s">
        <v>258</v>
      </c>
      <c r="C871" t="s">
        <v>12</v>
      </c>
      <c r="D871" t="s">
        <v>17</v>
      </c>
      <c r="E871">
        <v>0.25</v>
      </c>
      <c r="F871">
        <v>42</v>
      </c>
      <c r="G871">
        <v>3</v>
      </c>
      <c r="H871">
        <v>2016</v>
      </c>
      <c r="I871" t="s">
        <v>663</v>
      </c>
      <c r="J871" t="str">
        <f t="shared" si="26"/>
        <v>Quarterfinal</v>
      </c>
      <c r="K871">
        <f t="shared" si="27"/>
        <v>0</v>
      </c>
    </row>
    <row r="872" spans="1:11">
      <c r="A872" t="s">
        <v>22</v>
      </c>
      <c r="B872" t="s">
        <v>23</v>
      </c>
      <c r="C872" t="s">
        <v>24</v>
      </c>
      <c r="D872" t="s">
        <v>13</v>
      </c>
      <c r="E872">
        <v>0.25</v>
      </c>
      <c r="F872">
        <v>64</v>
      </c>
      <c r="G872">
        <v>1</v>
      </c>
      <c r="H872">
        <v>2016</v>
      </c>
      <c r="I872" t="s">
        <v>664</v>
      </c>
      <c r="J872" t="str">
        <f t="shared" si="26"/>
        <v>Quarterfinal</v>
      </c>
      <c r="K872">
        <f t="shared" si="27"/>
        <v>1</v>
      </c>
    </row>
    <row r="873" spans="1:11">
      <c r="A873" t="s">
        <v>35</v>
      </c>
      <c r="B873" t="s">
        <v>36</v>
      </c>
      <c r="C873" t="s">
        <v>20</v>
      </c>
      <c r="D873" t="s">
        <v>13</v>
      </c>
      <c r="E873">
        <v>0.25</v>
      </c>
      <c r="F873">
        <v>61</v>
      </c>
      <c r="G873">
        <v>2</v>
      </c>
      <c r="H873">
        <v>2016</v>
      </c>
      <c r="I873" t="s">
        <v>664</v>
      </c>
      <c r="J873" t="str">
        <f t="shared" si="26"/>
        <v>Quarterfinal</v>
      </c>
      <c r="K873">
        <f t="shared" si="27"/>
        <v>0</v>
      </c>
    </row>
    <row r="874" spans="1:11">
      <c r="A874" t="s">
        <v>29</v>
      </c>
      <c r="B874" t="s">
        <v>30</v>
      </c>
      <c r="C874" t="s">
        <v>24</v>
      </c>
      <c r="D874" t="s">
        <v>31</v>
      </c>
      <c r="E874">
        <v>0.25</v>
      </c>
      <c r="F874">
        <v>52</v>
      </c>
      <c r="G874">
        <v>3</v>
      </c>
      <c r="H874">
        <v>2016</v>
      </c>
      <c r="I874" t="s">
        <v>664</v>
      </c>
      <c r="J874" t="str">
        <f t="shared" si="26"/>
        <v>Quarterfinal</v>
      </c>
      <c r="K874">
        <f t="shared" si="27"/>
        <v>0</v>
      </c>
    </row>
    <row r="875" spans="1:11">
      <c r="A875" t="s">
        <v>178</v>
      </c>
      <c r="B875" t="s">
        <v>179</v>
      </c>
      <c r="C875" t="s">
        <v>12</v>
      </c>
      <c r="D875" t="s">
        <v>13</v>
      </c>
      <c r="E875">
        <v>0.25</v>
      </c>
      <c r="F875">
        <v>58</v>
      </c>
      <c r="G875">
        <v>1</v>
      </c>
      <c r="H875">
        <v>2016</v>
      </c>
      <c r="I875" t="s">
        <v>665</v>
      </c>
      <c r="J875" t="str">
        <f t="shared" si="26"/>
        <v>Quarterfinal</v>
      </c>
      <c r="K875">
        <f t="shared" si="27"/>
        <v>1</v>
      </c>
    </row>
    <row r="876" spans="1:11">
      <c r="A876" t="s">
        <v>639</v>
      </c>
      <c r="B876" t="s">
        <v>640</v>
      </c>
      <c r="C876" t="s">
        <v>24</v>
      </c>
      <c r="D876" t="s">
        <v>31</v>
      </c>
      <c r="E876">
        <v>0.25</v>
      </c>
      <c r="F876">
        <v>32</v>
      </c>
      <c r="G876">
        <v>2</v>
      </c>
      <c r="H876">
        <v>2016</v>
      </c>
      <c r="I876" t="s">
        <v>665</v>
      </c>
      <c r="J876" t="str">
        <f t="shared" si="26"/>
        <v>Quarterfinal</v>
      </c>
      <c r="K876">
        <f t="shared" si="27"/>
        <v>0</v>
      </c>
    </row>
    <row r="877" spans="1:11">
      <c r="A877" t="s">
        <v>142</v>
      </c>
      <c r="B877" t="s">
        <v>143</v>
      </c>
      <c r="C877" t="s">
        <v>24</v>
      </c>
      <c r="D877" t="s">
        <v>17</v>
      </c>
      <c r="E877">
        <v>0.25</v>
      </c>
      <c r="F877">
        <v>30</v>
      </c>
      <c r="G877">
        <v>3</v>
      </c>
      <c r="H877">
        <v>2016</v>
      </c>
      <c r="I877" t="s">
        <v>665</v>
      </c>
      <c r="J877" t="str">
        <f t="shared" si="26"/>
        <v>Quarterfinal</v>
      </c>
      <c r="K877">
        <f t="shared" si="27"/>
        <v>0</v>
      </c>
    </row>
    <row r="878" spans="1:11">
      <c r="A878" t="s">
        <v>140</v>
      </c>
      <c r="B878" t="s">
        <v>141</v>
      </c>
      <c r="C878" t="s">
        <v>24</v>
      </c>
      <c r="D878" t="s">
        <v>17</v>
      </c>
      <c r="E878">
        <v>0.25</v>
      </c>
      <c r="F878">
        <v>47</v>
      </c>
      <c r="G878">
        <v>1</v>
      </c>
      <c r="H878">
        <v>2016</v>
      </c>
      <c r="I878" t="s">
        <v>666</v>
      </c>
      <c r="J878" t="str">
        <f t="shared" si="26"/>
        <v>Quarterfinal</v>
      </c>
      <c r="K878">
        <f t="shared" si="27"/>
        <v>1</v>
      </c>
    </row>
    <row r="879" spans="1:11">
      <c r="A879" t="s">
        <v>75</v>
      </c>
      <c r="B879" t="s">
        <v>76</v>
      </c>
      <c r="C879" t="s">
        <v>39</v>
      </c>
      <c r="D879" t="s">
        <v>17</v>
      </c>
      <c r="E879">
        <v>0.25</v>
      </c>
      <c r="F879">
        <v>42</v>
      </c>
      <c r="G879">
        <v>2</v>
      </c>
      <c r="H879">
        <v>2016</v>
      </c>
      <c r="I879" t="s">
        <v>666</v>
      </c>
      <c r="J879" t="str">
        <f t="shared" si="26"/>
        <v>Quarterfinal</v>
      </c>
      <c r="K879">
        <f t="shared" si="27"/>
        <v>0</v>
      </c>
    </row>
    <row r="880" spans="1:11">
      <c r="A880" t="s">
        <v>37</v>
      </c>
      <c r="B880" t="s">
        <v>38</v>
      </c>
      <c r="C880" t="s">
        <v>39</v>
      </c>
      <c r="D880" t="s">
        <v>13</v>
      </c>
      <c r="E880">
        <v>0.25</v>
      </c>
      <c r="F880">
        <v>35</v>
      </c>
      <c r="G880">
        <v>3</v>
      </c>
      <c r="H880">
        <v>2016</v>
      </c>
      <c r="I880" t="s">
        <v>666</v>
      </c>
      <c r="J880" t="str">
        <f t="shared" si="26"/>
        <v>Quarterfinal</v>
      </c>
      <c r="K880">
        <f t="shared" si="27"/>
        <v>0</v>
      </c>
    </row>
    <row r="881" spans="1:11">
      <c r="A881" t="s">
        <v>37</v>
      </c>
      <c r="B881" t="s">
        <v>38</v>
      </c>
      <c r="C881" t="s">
        <v>39</v>
      </c>
      <c r="D881" t="s">
        <v>13</v>
      </c>
      <c r="E881">
        <v>0.125</v>
      </c>
      <c r="F881">
        <v>52</v>
      </c>
      <c r="G881">
        <v>1</v>
      </c>
      <c r="H881">
        <v>2016</v>
      </c>
      <c r="I881" t="s">
        <v>667</v>
      </c>
      <c r="J881" t="str">
        <f t="shared" si="26"/>
        <v>Preliminary</v>
      </c>
      <c r="K881">
        <f t="shared" si="27"/>
        <v>1</v>
      </c>
    </row>
    <row r="882" spans="1:11">
      <c r="A882" t="s">
        <v>81</v>
      </c>
      <c r="B882" t="s">
        <v>82</v>
      </c>
      <c r="C882" t="s">
        <v>24</v>
      </c>
      <c r="D882" t="s">
        <v>13</v>
      </c>
      <c r="E882">
        <v>0.125</v>
      </c>
      <c r="F882">
        <v>35</v>
      </c>
      <c r="G882">
        <v>2</v>
      </c>
      <c r="H882">
        <v>2016</v>
      </c>
      <c r="I882" t="s">
        <v>667</v>
      </c>
      <c r="J882" t="str">
        <f t="shared" si="26"/>
        <v>Preliminary</v>
      </c>
      <c r="K882">
        <f t="shared" si="27"/>
        <v>0</v>
      </c>
    </row>
    <row r="883" spans="1:11">
      <c r="A883" t="s">
        <v>485</v>
      </c>
      <c r="B883" t="s">
        <v>486</v>
      </c>
      <c r="C883" t="s">
        <v>39</v>
      </c>
      <c r="D883" t="s">
        <v>17</v>
      </c>
      <c r="E883">
        <v>0.125</v>
      </c>
      <c r="F883">
        <v>29</v>
      </c>
      <c r="G883">
        <v>3</v>
      </c>
      <c r="H883">
        <v>2016</v>
      </c>
      <c r="I883" t="s">
        <v>667</v>
      </c>
      <c r="J883" t="str">
        <f t="shared" si="26"/>
        <v>Preliminary</v>
      </c>
      <c r="K883">
        <f t="shared" si="27"/>
        <v>0</v>
      </c>
    </row>
    <row r="884" spans="1:11">
      <c r="A884" t="s">
        <v>160</v>
      </c>
      <c r="B884" t="s">
        <v>161</v>
      </c>
      <c r="C884" t="s">
        <v>24</v>
      </c>
      <c r="D884" t="s">
        <v>13</v>
      </c>
      <c r="E884">
        <v>0.125</v>
      </c>
      <c r="F884">
        <v>51</v>
      </c>
      <c r="G884">
        <v>1</v>
      </c>
      <c r="H884">
        <v>2016</v>
      </c>
      <c r="I884" t="s">
        <v>668</v>
      </c>
      <c r="J884" t="str">
        <f t="shared" si="26"/>
        <v>Preliminary</v>
      </c>
      <c r="K884">
        <f t="shared" si="27"/>
        <v>1</v>
      </c>
    </row>
    <row r="885" spans="1:11">
      <c r="A885" t="s">
        <v>260</v>
      </c>
      <c r="B885" t="s">
        <v>261</v>
      </c>
      <c r="C885" t="s">
        <v>80</v>
      </c>
      <c r="D885" t="s">
        <v>17</v>
      </c>
      <c r="E885">
        <v>0.125</v>
      </c>
      <c r="F885">
        <v>50</v>
      </c>
      <c r="G885">
        <v>2</v>
      </c>
      <c r="H885">
        <v>2016</v>
      </c>
      <c r="I885" t="s">
        <v>668</v>
      </c>
      <c r="J885" t="str">
        <f t="shared" si="26"/>
        <v>Preliminary</v>
      </c>
      <c r="K885">
        <f t="shared" si="27"/>
        <v>0</v>
      </c>
    </row>
    <row r="886" spans="1:11">
      <c r="A886" t="s">
        <v>367</v>
      </c>
      <c r="B886" t="s">
        <v>368</v>
      </c>
      <c r="C886" t="s">
        <v>27</v>
      </c>
      <c r="D886" t="s">
        <v>17</v>
      </c>
      <c r="E886">
        <v>0.125</v>
      </c>
      <c r="F886">
        <v>36</v>
      </c>
      <c r="G886">
        <v>3</v>
      </c>
      <c r="H886">
        <v>2016</v>
      </c>
      <c r="I886" t="s">
        <v>668</v>
      </c>
      <c r="J886" t="str">
        <f t="shared" si="26"/>
        <v>Preliminary</v>
      </c>
      <c r="K886">
        <f t="shared" si="27"/>
        <v>0</v>
      </c>
    </row>
    <row r="887" spans="1:11">
      <c r="A887" t="s">
        <v>78</v>
      </c>
      <c r="B887" t="s">
        <v>79</v>
      </c>
      <c r="C887" t="s">
        <v>80</v>
      </c>
      <c r="D887" t="s">
        <v>17</v>
      </c>
      <c r="E887">
        <v>0.125</v>
      </c>
      <c r="F887">
        <v>57</v>
      </c>
      <c r="G887">
        <v>1</v>
      </c>
      <c r="H887">
        <v>2016</v>
      </c>
      <c r="I887" t="s">
        <v>669</v>
      </c>
      <c r="J887" t="str">
        <f t="shared" si="26"/>
        <v>Preliminary</v>
      </c>
      <c r="K887">
        <f t="shared" si="27"/>
        <v>1</v>
      </c>
    </row>
    <row r="888" spans="1:11">
      <c r="A888" t="s">
        <v>62</v>
      </c>
      <c r="B888" t="s">
        <v>63</v>
      </c>
      <c r="C888" t="s">
        <v>20</v>
      </c>
      <c r="D888" t="s">
        <v>17</v>
      </c>
      <c r="E888">
        <v>0.125</v>
      </c>
      <c r="F888">
        <v>42</v>
      </c>
      <c r="G888">
        <v>2</v>
      </c>
      <c r="H888">
        <v>2016</v>
      </c>
      <c r="I888" t="s">
        <v>669</v>
      </c>
      <c r="J888" t="str">
        <f t="shared" si="26"/>
        <v>Preliminary</v>
      </c>
      <c r="K888">
        <f t="shared" si="27"/>
        <v>0</v>
      </c>
    </row>
    <row r="889" spans="1:11">
      <c r="A889" t="s">
        <v>376</v>
      </c>
      <c r="B889" t="s">
        <v>377</v>
      </c>
      <c r="C889" t="s">
        <v>20</v>
      </c>
      <c r="D889" t="s">
        <v>17</v>
      </c>
      <c r="E889">
        <v>0.125</v>
      </c>
      <c r="F889">
        <v>23</v>
      </c>
      <c r="G889">
        <v>3</v>
      </c>
      <c r="H889">
        <v>2016</v>
      </c>
      <c r="I889" t="s">
        <v>669</v>
      </c>
      <c r="J889" t="str">
        <f t="shared" si="26"/>
        <v>Preliminary</v>
      </c>
      <c r="K889">
        <f t="shared" si="27"/>
        <v>0</v>
      </c>
    </row>
    <row r="890" spans="1:11">
      <c r="A890" t="s">
        <v>642</v>
      </c>
      <c r="B890" t="s">
        <v>643</v>
      </c>
      <c r="C890" t="s">
        <v>39</v>
      </c>
      <c r="D890" t="s">
        <v>17</v>
      </c>
      <c r="E890">
        <v>0.125</v>
      </c>
      <c r="F890">
        <v>47</v>
      </c>
      <c r="G890">
        <v>1</v>
      </c>
      <c r="H890">
        <v>2016</v>
      </c>
      <c r="I890" t="s">
        <v>670</v>
      </c>
      <c r="J890" t="str">
        <f t="shared" si="26"/>
        <v>Preliminary</v>
      </c>
      <c r="K890">
        <f t="shared" si="27"/>
        <v>1</v>
      </c>
    </row>
    <row r="891" spans="1:11">
      <c r="A891" t="s">
        <v>109</v>
      </c>
      <c r="B891" t="s">
        <v>110</v>
      </c>
      <c r="C891" t="s">
        <v>39</v>
      </c>
      <c r="D891" t="s">
        <v>17</v>
      </c>
      <c r="E891">
        <v>0.125</v>
      </c>
      <c r="F891">
        <v>43</v>
      </c>
      <c r="G891">
        <v>2</v>
      </c>
      <c r="H891">
        <v>2016</v>
      </c>
      <c r="I891" t="s">
        <v>670</v>
      </c>
      <c r="J891" t="str">
        <f t="shared" si="26"/>
        <v>Preliminary</v>
      </c>
      <c r="K891">
        <f t="shared" si="27"/>
        <v>0</v>
      </c>
    </row>
    <row r="892" spans="1:11">
      <c r="A892" t="s">
        <v>172</v>
      </c>
      <c r="B892" t="s">
        <v>173</v>
      </c>
      <c r="C892" t="s">
        <v>39</v>
      </c>
      <c r="D892" t="s">
        <v>17</v>
      </c>
      <c r="E892">
        <v>0.125</v>
      </c>
      <c r="F892">
        <v>32</v>
      </c>
      <c r="G892">
        <v>3</v>
      </c>
      <c r="H892">
        <v>2016</v>
      </c>
      <c r="I892" t="s">
        <v>670</v>
      </c>
      <c r="J892" t="str">
        <f t="shared" si="26"/>
        <v>Preliminary</v>
      </c>
      <c r="K892">
        <f t="shared" si="27"/>
        <v>0</v>
      </c>
    </row>
    <row r="893" spans="1:11">
      <c r="A893" t="s">
        <v>46</v>
      </c>
      <c r="B893" t="s">
        <v>47</v>
      </c>
      <c r="C893" t="s">
        <v>12</v>
      </c>
      <c r="D893" t="s">
        <v>13</v>
      </c>
      <c r="E893">
        <v>0.125</v>
      </c>
      <c r="F893">
        <v>54</v>
      </c>
      <c r="G893">
        <v>1</v>
      </c>
      <c r="H893">
        <v>2016</v>
      </c>
      <c r="I893" t="s">
        <v>671</v>
      </c>
      <c r="J893" t="str">
        <f t="shared" si="26"/>
        <v>Preliminary</v>
      </c>
      <c r="K893">
        <f t="shared" si="27"/>
        <v>1</v>
      </c>
    </row>
    <row r="894" spans="1:11">
      <c r="A894" t="s">
        <v>320</v>
      </c>
      <c r="B894" t="s">
        <v>321</v>
      </c>
      <c r="C894" t="s">
        <v>177</v>
      </c>
      <c r="D894" t="s">
        <v>17</v>
      </c>
      <c r="E894">
        <v>0.125</v>
      </c>
      <c r="F894">
        <v>44</v>
      </c>
      <c r="G894">
        <v>2</v>
      </c>
      <c r="H894">
        <v>2016</v>
      </c>
      <c r="I894" t="s">
        <v>671</v>
      </c>
      <c r="J894" t="str">
        <f t="shared" si="26"/>
        <v>Preliminary</v>
      </c>
      <c r="K894">
        <f t="shared" si="27"/>
        <v>0</v>
      </c>
    </row>
    <row r="895" spans="1:11">
      <c r="A895" t="s">
        <v>219</v>
      </c>
      <c r="B895" t="s">
        <v>220</v>
      </c>
      <c r="C895" t="s">
        <v>27</v>
      </c>
      <c r="D895" t="s">
        <v>17</v>
      </c>
      <c r="E895">
        <v>0.125</v>
      </c>
      <c r="F895">
        <v>34</v>
      </c>
      <c r="G895">
        <v>3</v>
      </c>
      <c r="H895">
        <v>2016</v>
      </c>
      <c r="I895" t="s">
        <v>671</v>
      </c>
      <c r="J895" t="str">
        <f t="shared" si="26"/>
        <v>Preliminary</v>
      </c>
      <c r="K895">
        <f t="shared" si="27"/>
        <v>0</v>
      </c>
    </row>
    <row r="896" spans="1:11">
      <c r="A896" t="s">
        <v>314</v>
      </c>
      <c r="B896" t="s">
        <v>315</v>
      </c>
      <c r="C896" t="s">
        <v>20</v>
      </c>
      <c r="D896" t="s">
        <v>17</v>
      </c>
      <c r="E896">
        <v>0.125</v>
      </c>
      <c r="F896">
        <v>55</v>
      </c>
      <c r="G896">
        <v>1</v>
      </c>
      <c r="H896">
        <v>2016</v>
      </c>
      <c r="I896" t="s">
        <v>672</v>
      </c>
      <c r="J896" t="str">
        <f t="shared" si="26"/>
        <v>Preliminary</v>
      </c>
      <c r="K896">
        <f t="shared" si="27"/>
        <v>1</v>
      </c>
    </row>
    <row r="897" spans="1:11">
      <c r="A897" t="s">
        <v>197</v>
      </c>
      <c r="B897" t="s">
        <v>198</v>
      </c>
      <c r="C897" t="s">
        <v>39</v>
      </c>
      <c r="D897" t="s">
        <v>13</v>
      </c>
      <c r="E897">
        <v>0.125</v>
      </c>
      <c r="F897">
        <v>35</v>
      </c>
      <c r="G897">
        <v>2</v>
      </c>
      <c r="H897">
        <v>2016</v>
      </c>
      <c r="I897" t="s">
        <v>672</v>
      </c>
      <c r="J897" t="str">
        <f t="shared" si="26"/>
        <v>Preliminary</v>
      </c>
      <c r="K897">
        <f t="shared" si="27"/>
        <v>0</v>
      </c>
    </row>
    <row r="898" spans="1:11">
      <c r="A898" t="s">
        <v>132</v>
      </c>
      <c r="B898" t="s">
        <v>133</v>
      </c>
      <c r="C898" t="s">
        <v>39</v>
      </c>
      <c r="D898" t="s">
        <v>31</v>
      </c>
      <c r="E898">
        <v>0.125</v>
      </c>
      <c r="F898">
        <v>31</v>
      </c>
      <c r="G898">
        <v>3</v>
      </c>
      <c r="H898">
        <v>2016</v>
      </c>
      <c r="I898" t="s">
        <v>672</v>
      </c>
      <c r="J898" t="str">
        <f t="shared" si="26"/>
        <v>Preliminary</v>
      </c>
      <c r="K898">
        <f t="shared" si="27"/>
        <v>0</v>
      </c>
    </row>
    <row r="899" spans="1:11">
      <c r="A899" t="s">
        <v>546</v>
      </c>
      <c r="B899" t="s">
        <v>547</v>
      </c>
      <c r="C899" t="s">
        <v>50</v>
      </c>
      <c r="D899" t="s">
        <v>17</v>
      </c>
      <c r="E899">
        <v>0.125</v>
      </c>
      <c r="F899">
        <v>38</v>
      </c>
      <c r="G899">
        <v>1</v>
      </c>
      <c r="H899">
        <v>2016</v>
      </c>
      <c r="I899" t="s">
        <v>673</v>
      </c>
      <c r="J899" t="str">
        <f t="shared" ref="J899:J962" si="28">IF(E899=1,"Final",IF(E899=0.5,"Semifinal",IF(E899=0.25,"Quarterfinal",IF(E899=0.125,"Preliminary","Unknown"))))</f>
        <v>Preliminary</v>
      </c>
      <c r="K899">
        <f t="shared" ref="K899:K962" si="29">IF(G899=1,1,0)</f>
        <v>1</v>
      </c>
    </row>
    <row r="900" spans="1:11">
      <c r="A900" t="s">
        <v>152</v>
      </c>
      <c r="B900" t="s">
        <v>153</v>
      </c>
      <c r="C900" t="s">
        <v>24</v>
      </c>
      <c r="D900" t="s">
        <v>17</v>
      </c>
      <c r="E900">
        <v>0.125</v>
      </c>
      <c r="F900">
        <v>31</v>
      </c>
      <c r="G900">
        <v>2</v>
      </c>
      <c r="H900">
        <v>2016</v>
      </c>
      <c r="I900" t="s">
        <v>673</v>
      </c>
      <c r="J900" t="str">
        <f t="shared" si="28"/>
        <v>Preliminary</v>
      </c>
      <c r="K900">
        <f t="shared" si="29"/>
        <v>0</v>
      </c>
    </row>
    <row r="901" spans="1:11">
      <c r="A901" t="s">
        <v>116</v>
      </c>
      <c r="B901" t="s">
        <v>117</v>
      </c>
      <c r="C901" t="s">
        <v>118</v>
      </c>
      <c r="D901" t="s">
        <v>13</v>
      </c>
      <c r="E901">
        <v>0.125</v>
      </c>
      <c r="F901">
        <v>25</v>
      </c>
      <c r="G901">
        <v>3</v>
      </c>
      <c r="H901">
        <v>2016</v>
      </c>
      <c r="I901" t="s">
        <v>673</v>
      </c>
      <c r="J901" t="str">
        <f t="shared" si="28"/>
        <v>Preliminary</v>
      </c>
      <c r="K901">
        <f t="shared" si="29"/>
        <v>0</v>
      </c>
    </row>
    <row r="902" spans="1:11">
      <c r="A902" t="s">
        <v>86</v>
      </c>
      <c r="B902" t="s">
        <v>87</v>
      </c>
      <c r="C902" t="s">
        <v>20</v>
      </c>
      <c r="D902" t="s">
        <v>17</v>
      </c>
      <c r="E902">
        <v>0.125</v>
      </c>
      <c r="F902">
        <v>40</v>
      </c>
      <c r="G902">
        <v>1</v>
      </c>
      <c r="H902">
        <v>2016</v>
      </c>
      <c r="I902" t="s">
        <v>674</v>
      </c>
      <c r="J902" t="str">
        <f t="shared" si="28"/>
        <v>Preliminary</v>
      </c>
      <c r="K902">
        <f t="shared" si="29"/>
        <v>1</v>
      </c>
    </row>
    <row r="903" spans="1:11">
      <c r="A903" t="s">
        <v>162</v>
      </c>
      <c r="B903" t="s">
        <v>163</v>
      </c>
      <c r="C903" t="s">
        <v>39</v>
      </c>
      <c r="D903" t="s">
        <v>17</v>
      </c>
      <c r="E903">
        <v>0.125</v>
      </c>
      <c r="F903">
        <v>37</v>
      </c>
      <c r="G903">
        <v>2</v>
      </c>
      <c r="H903">
        <v>2016</v>
      </c>
      <c r="I903" t="s">
        <v>674</v>
      </c>
      <c r="J903" t="str">
        <f t="shared" si="28"/>
        <v>Preliminary</v>
      </c>
      <c r="K903">
        <f t="shared" si="29"/>
        <v>0</v>
      </c>
    </row>
    <row r="904" spans="1:11">
      <c r="A904" t="s">
        <v>111</v>
      </c>
      <c r="B904" t="s">
        <v>112</v>
      </c>
      <c r="C904" t="s">
        <v>27</v>
      </c>
      <c r="D904" t="s">
        <v>17</v>
      </c>
      <c r="E904">
        <v>0.125</v>
      </c>
      <c r="F904">
        <v>36</v>
      </c>
      <c r="G904">
        <v>3</v>
      </c>
      <c r="H904">
        <v>2016</v>
      </c>
      <c r="I904" t="s">
        <v>674</v>
      </c>
      <c r="J904" t="str">
        <f t="shared" si="28"/>
        <v>Preliminary</v>
      </c>
      <c r="K904">
        <f t="shared" si="29"/>
        <v>0</v>
      </c>
    </row>
    <row r="905" spans="1:11">
      <c r="A905" t="s">
        <v>181</v>
      </c>
      <c r="B905" t="s">
        <v>182</v>
      </c>
      <c r="C905" t="s">
        <v>20</v>
      </c>
      <c r="D905" t="s">
        <v>17</v>
      </c>
      <c r="E905">
        <v>0.125</v>
      </c>
      <c r="F905">
        <v>49</v>
      </c>
      <c r="G905">
        <v>1</v>
      </c>
      <c r="H905">
        <v>2016</v>
      </c>
      <c r="I905" t="s">
        <v>675</v>
      </c>
      <c r="J905" t="str">
        <f t="shared" si="28"/>
        <v>Preliminary</v>
      </c>
      <c r="K905">
        <f t="shared" si="29"/>
        <v>1</v>
      </c>
    </row>
    <row r="906" spans="1:11">
      <c r="A906" t="s">
        <v>10</v>
      </c>
      <c r="B906" t="s">
        <v>11</v>
      </c>
      <c r="C906" t="s">
        <v>12</v>
      </c>
      <c r="D906" t="s">
        <v>13</v>
      </c>
      <c r="E906">
        <v>0.125</v>
      </c>
      <c r="F906">
        <v>46</v>
      </c>
      <c r="G906">
        <v>2</v>
      </c>
      <c r="H906">
        <v>2016</v>
      </c>
      <c r="I906" t="s">
        <v>675</v>
      </c>
      <c r="J906" t="str">
        <f t="shared" si="28"/>
        <v>Preliminary</v>
      </c>
      <c r="K906">
        <f t="shared" si="29"/>
        <v>0</v>
      </c>
    </row>
    <row r="907" spans="1:11">
      <c r="A907" t="s">
        <v>291</v>
      </c>
      <c r="B907" t="s">
        <v>292</v>
      </c>
      <c r="C907" t="s">
        <v>12</v>
      </c>
      <c r="D907" t="s">
        <v>31</v>
      </c>
      <c r="E907">
        <v>0.125</v>
      </c>
      <c r="F907">
        <v>25</v>
      </c>
      <c r="G907">
        <v>3</v>
      </c>
      <c r="H907">
        <v>2016</v>
      </c>
      <c r="I907" t="s">
        <v>675</v>
      </c>
      <c r="J907" t="str">
        <f t="shared" si="28"/>
        <v>Preliminary</v>
      </c>
      <c r="K907">
        <f t="shared" si="29"/>
        <v>0</v>
      </c>
    </row>
    <row r="908" spans="1:11">
      <c r="A908" t="s">
        <v>459</v>
      </c>
      <c r="B908" t="s">
        <v>460</v>
      </c>
      <c r="C908" t="s">
        <v>177</v>
      </c>
      <c r="D908" t="s">
        <v>17</v>
      </c>
      <c r="E908">
        <v>0.125</v>
      </c>
      <c r="F908">
        <v>41</v>
      </c>
      <c r="G908">
        <v>1</v>
      </c>
      <c r="H908">
        <v>2016</v>
      </c>
      <c r="I908" t="s">
        <v>676</v>
      </c>
      <c r="J908" t="str">
        <f t="shared" si="28"/>
        <v>Preliminary</v>
      </c>
      <c r="K908">
        <f t="shared" si="29"/>
        <v>1</v>
      </c>
    </row>
    <row r="909" spans="1:11">
      <c r="A909" t="s">
        <v>677</v>
      </c>
      <c r="B909" t="s">
        <v>678</v>
      </c>
      <c r="C909" t="s">
        <v>195</v>
      </c>
      <c r="D909" t="s">
        <v>17</v>
      </c>
      <c r="E909">
        <v>0.125</v>
      </c>
      <c r="F909">
        <v>30</v>
      </c>
      <c r="G909">
        <v>2</v>
      </c>
      <c r="H909">
        <v>2016</v>
      </c>
      <c r="I909" t="s">
        <v>676</v>
      </c>
      <c r="J909" t="str">
        <f t="shared" si="28"/>
        <v>Preliminary</v>
      </c>
      <c r="K909">
        <f t="shared" si="29"/>
        <v>0</v>
      </c>
    </row>
    <row r="910" spans="1:11">
      <c r="A910" t="s">
        <v>679</v>
      </c>
      <c r="B910" t="s">
        <v>680</v>
      </c>
      <c r="C910" t="s">
        <v>74</v>
      </c>
      <c r="D910" t="s">
        <v>17</v>
      </c>
      <c r="E910">
        <v>0.125</v>
      </c>
      <c r="F910">
        <v>15</v>
      </c>
      <c r="G910">
        <v>3</v>
      </c>
      <c r="H910">
        <v>2016</v>
      </c>
      <c r="I910" t="s">
        <v>676</v>
      </c>
      <c r="J910" t="str">
        <f t="shared" si="28"/>
        <v>Preliminary</v>
      </c>
      <c r="K910">
        <f t="shared" si="29"/>
        <v>0</v>
      </c>
    </row>
    <row r="911" spans="1:11">
      <c r="A911" t="s">
        <v>18</v>
      </c>
      <c r="B911" t="s">
        <v>19</v>
      </c>
      <c r="C911" t="s">
        <v>20</v>
      </c>
      <c r="D911" t="s">
        <v>13</v>
      </c>
      <c r="E911">
        <v>0.125</v>
      </c>
      <c r="F911">
        <v>38</v>
      </c>
      <c r="G911">
        <v>1</v>
      </c>
      <c r="H911">
        <v>2016</v>
      </c>
      <c r="I911" t="s">
        <v>681</v>
      </c>
      <c r="J911" t="str">
        <f t="shared" si="28"/>
        <v>Preliminary</v>
      </c>
      <c r="K911">
        <f t="shared" si="29"/>
        <v>1</v>
      </c>
    </row>
    <row r="912" spans="1:11">
      <c r="A912" t="s">
        <v>183</v>
      </c>
      <c r="B912" t="s">
        <v>184</v>
      </c>
      <c r="C912" t="s">
        <v>20</v>
      </c>
      <c r="D912" t="s">
        <v>17</v>
      </c>
      <c r="E912">
        <v>0.125</v>
      </c>
      <c r="F912">
        <v>29</v>
      </c>
      <c r="G912">
        <v>2</v>
      </c>
      <c r="H912">
        <v>2016</v>
      </c>
      <c r="I912" t="s">
        <v>681</v>
      </c>
      <c r="J912" t="str">
        <f t="shared" si="28"/>
        <v>Preliminary</v>
      </c>
      <c r="K912">
        <f t="shared" si="29"/>
        <v>0</v>
      </c>
    </row>
    <row r="913" spans="1:11">
      <c r="A913" t="s">
        <v>387</v>
      </c>
      <c r="B913" t="s">
        <v>388</v>
      </c>
      <c r="C913" t="s">
        <v>50</v>
      </c>
      <c r="D913" t="s">
        <v>17</v>
      </c>
      <c r="E913">
        <v>0.125</v>
      </c>
      <c r="F913">
        <v>28</v>
      </c>
      <c r="G913">
        <v>3</v>
      </c>
      <c r="H913">
        <v>2016</v>
      </c>
      <c r="I913" t="s">
        <v>681</v>
      </c>
      <c r="J913" t="str">
        <f t="shared" si="28"/>
        <v>Preliminary</v>
      </c>
      <c r="K913">
        <f t="shared" si="29"/>
        <v>0</v>
      </c>
    </row>
    <row r="914" spans="1:11">
      <c r="A914" t="s">
        <v>481</v>
      </c>
      <c r="B914" t="s">
        <v>482</v>
      </c>
      <c r="C914" t="s">
        <v>12</v>
      </c>
      <c r="D914" t="s">
        <v>17</v>
      </c>
      <c r="E914">
        <v>0.125</v>
      </c>
      <c r="F914">
        <v>45</v>
      </c>
      <c r="G914">
        <v>1</v>
      </c>
      <c r="H914">
        <v>2016</v>
      </c>
      <c r="I914" t="s">
        <v>682</v>
      </c>
      <c r="J914" t="str">
        <f t="shared" si="28"/>
        <v>Preliminary</v>
      </c>
      <c r="K914">
        <f t="shared" si="29"/>
        <v>1</v>
      </c>
    </row>
    <row r="915" spans="1:11">
      <c r="A915" t="s">
        <v>449</v>
      </c>
      <c r="B915" t="s">
        <v>450</v>
      </c>
      <c r="C915" t="s">
        <v>20</v>
      </c>
      <c r="D915" t="s">
        <v>31</v>
      </c>
      <c r="E915">
        <v>0.125</v>
      </c>
      <c r="F915">
        <v>31</v>
      </c>
      <c r="G915">
        <v>2</v>
      </c>
      <c r="H915">
        <v>2016</v>
      </c>
      <c r="I915" t="s">
        <v>682</v>
      </c>
      <c r="J915" t="str">
        <f t="shared" si="28"/>
        <v>Preliminary</v>
      </c>
      <c r="K915">
        <f t="shared" si="29"/>
        <v>0</v>
      </c>
    </row>
    <row r="916" spans="1:11">
      <c r="A916" t="s">
        <v>209</v>
      </c>
      <c r="B916" t="s">
        <v>210</v>
      </c>
      <c r="C916" t="s">
        <v>50</v>
      </c>
      <c r="D916" t="s">
        <v>17</v>
      </c>
      <c r="E916">
        <v>0.125</v>
      </c>
      <c r="F916">
        <v>23</v>
      </c>
      <c r="G916">
        <v>3</v>
      </c>
      <c r="H916">
        <v>2016</v>
      </c>
      <c r="I916" t="s">
        <v>682</v>
      </c>
      <c r="J916" t="str">
        <f t="shared" si="28"/>
        <v>Preliminary</v>
      </c>
      <c r="K916">
        <f t="shared" si="29"/>
        <v>0</v>
      </c>
    </row>
    <row r="917" spans="1:11">
      <c r="A917" t="s">
        <v>48</v>
      </c>
      <c r="B917" t="s">
        <v>49</v>
      </c>
      <c r="C917" t="s">
        <v>50</v>
      </c>
      <c r="D917" t="s">
        <v>13</v>
      </c>
      <c r="E917">
        <v>0.125</v>
      </c>
      <c r="F917">
        <v>47</v>
      </c>
      <c r="G917">
        <v>1</v>
      </c>
      <c r="H917">
        <v>2016</v>
      </c>
      <c r="I917" t="s">
        <v>683</v>
      </c>
      <c r="J917" t="str">
        <f t="shared" si="28"/>
        <v>Preliminary</v>
      </c>
      <c r="K917">
        <f t="shared" si="29"/>
        <v>1</v>
      </c>
    </row>
    <row r="918" spans="1:11">
      <c r="A918" t="s">
        <v>25</v>
      </c>
      <c r="B918" t="s">
        <v>26</v>
      </c>
      <c r="C918" t="s">
        <v>27</v>
      </c>
      <c r="D918" t="s">
        <v>17</v>
      </c>
      <c r="E918">
        <v>0.125</v>
      </c>
      <c r="F918">
        <v>35</v>
      </c>
      <c r="G918">
        <v>2</v>
      </c>
      <c r="H918">
        <v>2016</v>
      </c>
      <c r="I918" t="s">
        <v>683</v>
      </c>
      <c r="J918" t="str">
        <f t="shared" si="28"/>
        <v>Preliminary</v>
      </c>
      <c r="K918">
        <f t="shared" si="29"/>
        <v>0</v>
      </c>
    </row>
    <row r="919" spans="1:11">
      <c r="A919" t="s">
        <v>684</v>
      </c>
      <c r="B919" t="s">
        <v>685</v>
      </c>
      <c r="C919" t="s">
        <v>195</v>
      </c>
      <c r="D919" t="s">
        <v>17</v>
      </c>
      <c r="E919">
        <v>0.125</v>
      </c>
      <c r="F919">
        <v>9</v>
      </c>
      <c r="G919">
        <v>3</v>
      </c>
      <c r="H919">
        <v>2016</v>
      </c>
      <c r="I919" t="s">
        <v>683</v>
      </c>
      <c r="J919" t="str">
        <f t="shared" si="28"/>
        <v>Preliminary</v>
      </c>
      <c r="K919">
        <f t="shared" si="29"/>
        <v>0</v>
      </c>
    </row>
    <row r="920" spans="1:11">
      <c r="A920" t="s">
        <v>52</v>
      </c>
      <c r="B920" t="s">
        <v>53</v>
      </c>
      <c r="C920" t="s">
        <v>20</v>
      </c>
      <c r="D920" t="s">
        <v>13</v>
      </c>
      <c r="E920">
        <v>0.125</v>
      </c>
      <c r="F920">
        <v>42</v>
      </c>
      <c r="G920">
        <v>1</v>
      </c>
      <c r="H920">
        <v>2016</v>
      </c>
      <c r="I920" t="s">
        <v>686</v>
      </c>
      <c r="J920" t="str">
        <f t="shared" si="28"/>
        <v>Preliminary</v>
      </c>
      <c r="K920">
        <f t="shared" si="29"/>
        <v>1</v>
      </c>
    </row>
    <row r="921" spans="1:11">
      <c r="A921" t="s">
        <v>57</v>
      </c>
      <c r="B921" t="s">
        <v>58</v>
      </c>
      <c r="C921" t="s">
        <v>20</v>
      </c>
      <c r="D921" t="s">
        <v>13</v>
      </c>
      <c r="E921">
        <v>0.125</v>
      </c>
      <c r="F921">
        <v>40</v>
      </c>
      <c r="G921">
        <v>2</v>
      </c>
      <c r="H921">
        <v>2016</v>
      </c>
      <c r="I921" t="s">
        <v>686</v>
      </c>
      <c r="J921" t="str">
        <f t="shared" si="28"/>
        <v>Preliminary</v>
      </c>
      <c r="K921">
        <f t="shared" si="29"/>
        <v>0</v>
      </c>
    </row>
    <row r="922" spans="1:11">
      <c r="A922" t="s">
        <v>478</v>
      </c>
      <c r="B922" t="s">
        <v>479</v>
      </c>
      <c r="C922" t="s">
        <v>480</v>
      </c>
      <c r="D922" t="s">
        <v>17</v>
      </c>
      <c r="E922">
        <v>0.125</v>
      </c>
      <c r="F922">
        <v>35</v>
      </c>
      <c r="G922">
        <v>3</v>
      </c>
      <c r="H922">
        <v>2016</v>
      </c>
      <c r="I922" t="s">
        <v>686</v>
      </c>
      <c r="J922" t="str">
        <f t="shared" si="28"/>
        <v>Preliminary</v>
      </c>
      <c r="K922">
        <f t="shared" si="29"/>
        <v>0</v>
      </c>
    </row>
    <row r="923" spans="1:11">
      <c r="A923" t="s">
        <v>202</v>
      </c>
      <c r="B923" t="s">
        <v>203</v>
      </c>
      <c r="C923" t="s">
        <v>39</v>
      </c>
      <c r="D923" t="s">
        <v>13</v>
      </c>
      <c r="E923">
        <v>0.125</v>
      </c>
      <c r="F923">
        <v>52</v>
      </c>
      <c r="G923">
        <v>1</v>
      </c>
      <c r="H923">
        <v>2016</v>
      </c>
      <c r="I923" t="s">
        <v>687</v>
      </c>
      <c r="J923" t="str">
        <f t="shared" si="28"/>
        <v>Preliminary</v>
      </c>
      <c r="K923">
        <f t="shared" si="29"/>
        <v>1</v>
      </c>
    </row>
    <row r="924" spans="1:11">
      <c r="A924" t="s">
        <v>214</v>
      </c>
      <c r="B924" t="s">
        <v>215</v>
      </c>
      <c r="C924" t="s">
        <v>39</v>
      </c>
      <c r="D924" t="s">
        <v>31</v>
      </c>
      <c r="E924">
        <v>0.125</v>
      </c>
      <c r="F924">
        <v>42</v>
      </c>
      <c r="G924">
        <v>2</v>
      </c>
      <c r="H924">
        <v>2016</v>
      </c>
      <c r="I924" t="s">
        <v>687</v>
      </c>
      <c r="J924" t="str">
        <f t="shared" si="28"/>
        <v>Preliminary</v>
      </c>
      <c r="K924">
        <f t="shared" si="29"/>
        <v>0</v>
      </c>
    </row>
    <row r="925" spans="1:11">
      <c r="A925" t="s">
        <v>137</v>
      </c>
      <c r="B925" t="s">
        <v>138</v>
      </c>
      <c r="C925" t="s">
        <v>27</v>
      </c>
      <c r="D925" t="s">
        <v>31</v>
      </c>
      <c r="E925">
        <v>0.125</v>
      </c>
      <c r="F925">
        <v>33</v>
      </c>
      <c r="G925">
        <v>3</v>
      </c>
      <c r="H925">
        <v>2016</v>
      </c>
      <c r="I925" t="s">
        <v>687</v>
      </c>
      <c r="J925" t="str">
        <f t="shared" si="28"/>
        <v>Preliminary</v>
      </c>
      <c r="K925">
        <f t="shared" si="29"/>
        <v>0</v>
      </c>
    </row>
    <row r="926" spans="1:11">
      <c r="A926" t="s">
        <v>127</v>
      </c>
      <c r="B926" t="s">
        <v>128</v>
      </c>
      <c r="C926" t="s">
        <v>39</v>
      </c>
      <c r="D926" t="s">
        <v>17</v>
      </c>
      <c r="E926">
        <v>0.125</v>
      </c>
      <c r="F926">
        <v>53</v>
      </c>
      <c r="G926">
        <v>1</v>
      </c>
      <c r="H926">
        <v>2016</v>
      </c>
      <c r="I926" t="s">
        <v>688</v>
      </c>
      <c r="J926" t="str">
        <f t="shared" si="28"/>
        <v>Preliminary</v>
      </c>
      <c r="K926">
        <f t="shared" si="29"/>
        <v>1</v>
      </c>
    </row>
    <row r="927" spans="1:11">
      <c r="A927" t="s">
        <v>15</v>
      </c>
      <c r="B927" t="s">
        <v>16</v>
      </c>
      <c r="C927" t="s">
        <v>12</v>
      </c>
      <c r="D927" t="s">
        <v>17</v>
      </c>
      <c r="E927">
        <v>0.125</v>
      </c>
      <c r="F927">
        <v>49</v>
      </c>
      <c r="G927">
        <v>2</v>
      </c>
      <c r="H927">
        <v>2016</v>
      </c>
      <c r="I927" t="s">
        <v>688</v>
      </c>
      <c r="J927" t="str">
        <f t="shared" si="28"/>
        <v>Preliminary</v>
      </c>
      <c r="K927">
        <f t="shared" si="29"/>
        <v>0</v>
      </c>
    </row>
    <row r="928" spans="1:11">
      <c r="A928" t="s">
        <v>145</v>
      </c>
      <c r="B928" t="s">
        <v>146</v>
      </c>
      <c r="C928" t="s">
        <v>24</v>
      </c>
      <c r="D928" t="s">
        <v>31</v>
      </c>
      <c r="E928">
        <v>0.125</v>
      </c>
      <c r="F928">
        <v>45</v>
      </c>
      <c r="G928">
        <v>3</v>
      </c>
      <c r="H928">
        <v>2016</v>
      </c>
      <c r="I928" t="s">
        <v>688</v>
      </c>
      <c r="J928" t="str">
        <f t="shared" si="28"/>
        <v>Preliminary</v>
      </c>
      <c r="K928">
        <f t="shared" si="29"/>
        <v>0</v>
      </c>
    </row>
    <row r="929" spans="1:11">
      <c r="A929" t="s">
        <v>207</v>
      </c>
      <c r="B929" t="s">
        <v>208</v>
      </c>
      <c r="C929" t="s">
        <v>20</v>
      </c>
      <c r="D929" t="s">
        <v>13</v>
      </c>
      <c r="E929">
        <v>0.125</v>
      </c>
      <c r="F929">
        <v>42</v>
      </c>
      <c r="G929">
        <v>1</v>
      </c>
      <c r="H929">
        <v>2016</v>
      </c>
      <c r="I929" t="s">
        <v>689</v>
      </c>
      <c r="J929" t="str">
        <f t="shared" si="28"/>
        <v>Preliminary</v>
      </c>
      <c r="K929">
        <f t="shared" si="29"/>
        <v>1</v>
      </c>
    </row>
    <row r="930" spans="1:11">
      <c r="A930" t="s">
        <v>582</v>
      </c>
      <c r="B930" t="s">
        <v>583</v>
      </c>
      <c r="C930" t="s">
        <v>27</v>
      </c>
      <c r="D930" t="s">
        <v>13</v>
      </c>
      <c r="E930">
        <v>0.125</v>
      </c>
      <c r="F930">
        <v>33</v>
      </c>
      <c r="G930">
        <v>2</v>
      </c>
      <c r="H930">
        <v>2016</v>
      </c>
      <c r="I930" t="s">
        <v>689</v>
      </c>
      <c r="J930" t="str">
        <f t="shared" si="28"/>
        <v>Preliminary</v>
      </c>
      <c r="K930">
        <f t="shared" si="29"/>
        <v>0</v>
      </c>
    </row>
    <row r="931" spans="1:11">
      <c r="A931" t="s">
        <v>89</v>
      </c>
      <c r="B931" t="s">
        <v>90</v>
      </c>
      <c r="C931" t="s">
        <v>50</v>
      </c>
      <c r="D931" t="s">
        <v>31</v>
      </c>
      <c r="E931">
        <v>0.125</v>
      </c>
      <c r="F931">
        <v>27</v>
      </c>
      <c r="G931">
        <v>3</v>
      </c>
      <c r="H931">
        <v>2016</v>
      </c>
      <c r="I931" t="s">
        <v>689</v>
      </c>
      <c r="J931" t="str">
        <f t="shared" si="28"/>
        <v>Preliminary</v>
      </c>
      <c r="K931">
        <f t="shared" si="29"/>
        <v>0</v>
      </c>
    </row>
    <row r="932" spans="1:11">
      <c r="A932" t="s">
        <v>165</v>
      </c>
      <c r="B932" t="s">
        <v>166</v>
      </c>
      <c r="C932" t="s">
        <v>24</v>
      </c>
      <c r="D932" t="s">
        <v>17</v>
      </c>
      <c r="E932">
        <v>0.125</v>
      </c>
      <c r="F932">
        <v>44</v>
      </c>
      <c r="G932">
        <v>1</v>
      </c>
      <c r="H932">
        <v>2016</v>
      </c>
      <c r="I932" t="s">
        <v>690</v>
      </c>
      <c r="J932" t="str">
        <f t="shared" si="28"/>
        <v>Preliminary</v>
      </c>
      <c r="K932">
        <f t="shared" si="29"/>
        <v>1</v>
      </c>
    </row>
    <row r="933" spans="1:11">
      <c r="A933" t="s">
        <v>438</v>
      </c>
      <c r="B933" t="s">
        <v>439</v>
      </c>
      <c r="C933" t="s">
        <v>27</v>
      </c>
      <c r="D933" t="s">
        <v>17</v>
      </c>
      <c r="E933">
        <v>0.125</v>
      </c>
      <c r="F933">
        <v>39</v>
      </c>
      <c r="G933">
        <v>2</v>
      </c>
      <c r="H933">
        <v>2016</v>
      </c>
      <c r="I933" t="s">
        <v>690</v>
      </c>
      <c r="J933" t="str">
        <f t="shared" si="28"/>
        <v>Preliminary</v>
      </c>
      <c r="K933">
        <f t="shared" si="29"/>
        <v>0</v>
      </c>
    </row>
    <row r="934" spans="1:11">
      <c r="A934" t="s">
        <v>193</v>
      </c>
      <c r="B934" t="s">
        <v>194</v>
      </c>
      <c r="C934" t="s">
        <v>195</v>
      </c>
      <c r="D934" t="s">
        <v>17</v>
      </c>
      <c r="E934">
        <v>0.125</v>
      </c>
      <c r="F934">
        <v>23</v>
      </c>
      <c r="G934">
        <v>3</v>
      </c>
      <c r="H934">
        <v>2016</v>
      </c>
      <c r="I934" t="s">
        <v>690</v>
      </c>
      <c r="J934" t="str">
        <f t="shared" si="28"/>
        <v>Preliminary</v>
      </c>
      <c r="K934">
        <f t="shared" si="29"/>
        <v>0</v>
      </c>
    </row>
    <row r="935" spans="1:11">
      <c r="A935" t="s">
        <v>257</v>
      </c>
      <c r="B935" t="s">
        <v>258</v>
      </c>
      <c r="C935" t="s">
        <v>12</v>
      </c>
      <c r="D935" t="s">
        <v>17</v>
      </c>
      <c r="E935">
        <v>0.125</v>
      </c>
      <c r="F935">
        <v>43</v>
      </c>
      <c r="G935">
        <v>1</v>
      </c>
      <c r="H935">
        <v>2016</v>
      </c>
      <c r="I935" t="s">
        <v>691</v>
      </c>
      <c r="J935" t="str">
        <f t="shared" si="28"/>
        <v>Preliminary</v>
      </c>
      <c r="K935">
        <f t="shared" si="29"/>
        <v>1</v>
      </c>
    </row>
    <row r="936" spans="1:11">
      <c r="A936" t="s">
        <v>96</v>
      </c>
      <c r="B936" t="s">
        <v>97</v>
      </c>
      <c r="C936" t="s">
        <v>74</v>
      </c>
      <c r="D936" t="s">
        <v>17</v>
      </c>
      <c r="E936">
        <v>0.125</v>
      </c>
      <c r="F936">
        <v>37</v>
      </c>
      <c r="G936">
        <v>2</v>
      </c>
      <c r="H936">
        <v>2016</v>
      </c>
      <c r="I936" t="s">
        <v>691</v>
      </c>
      <c r="J936" t="str">
        <f t="shared" si="28"/>
        <v>Preliminary</v>
      </c>
      <c r="K936">
        <f t="shared" si="29"/>
        <v>0</v>
      </c>
    </row>
    <row r="937" spans="1:11">
      <c r="A937" t="s">
        <v>692</v>
      </c>
      <c r="B937" t="s">
        <v>693</v>
      </c>
      <c r="C937" t="s">
        <v>24</v>
      </c>
      <c r="D937" t="s">
        <v>17</v>
      </c>
      <c r="E937">
        <v>0.125</v>
      </c>
      <c r="F937">
        <v>24</v>
      </c>
      <c r="G937">
        <v>3</v>
      </c>
      <c r="H937">
        <v>2016</v>
      </c>
      <c r="I937" t="s">
        <v>691</v>
      </c>
      <c r="J937" t="str">
        <f t="shared" si="28"/>
        <v>Preliminary</v>
      </c>
      <c r="K937">
        <f t="shared" si="29"/>
        <v>0</v>
      </c>
    </row>
    <row r="938" spans="1:11">
      <c r="A938" t="s">
        <v>22</v>
      </c>
      <c r="B938" t="s">
        <v>23</v>
      </c>
      <c r="C938" t="s">
        <v>24</v>
      </c>
      <c r="D938" t="s">
        <v>13</v>
      </c>
      <c r="E938">
        <v>0.125</v>
      </c>
      <c r="F938">
        <v>56</v>
      </c>
      <c r="G938">
        <v>1</v>
      </c>
      <c r="H938">
        <v>2016</v>
      </c>
      <c r="I938" t="s">
        <v>694</v>
      </c>
      <c r="J938" t="str">
        <f t="shared" si="28"/>
        <v>Preliminary</v>
      </c>
      <c r="K938">
        <f t="shared" si="29"/>
        <v>1</v>
      </c>
    </row>
    <row r="939" spans="1:11">
      <c r="A939" t="s">
        <v>157</v>
      </c>
      <c r="B939" t="s">
        <v>158</v>
      </c>
      <c r="C939" t="s">
        <v>80</v>
      </c>
      <c r="D939" t="s">
        <v>13</v>
      </c>
      <c r="E939">
        <v>0.125</v>
      </c>
      <c r="F939">
        <v>46</v>
      </c>
      <c r="G939">
        <v>2</v>
      </c>
      <c r="H939">
        <v>2016</v>
      </c>
      <c r="I939" t="s">
        <v>694</v>
      </c>
      <c r="J939" t="str">
        <f t="shared" si="28"/>
        <v>Preliminary</v>
      </c>
      <c r="K939">
        <f t="shared" si="29"/>
        <v>0</v>
      </c>
    </row>
    <row r="940" spans="1:11">
      <c r="A940" t="s">
        <v>505</v>
      </c>
      <c r="B940" t="s">
        <v>506</v>
      </c>
      <c r="C940" t="s">
        <v>39</v>
      </c>
      <c r="D940" t="s">
        <v>17</v>
      </c>
      <c r="E940">
        <v>0.125</v>
      </c>
      <c r="F940">
        <v>19</v>
      </c>
      <c r="G940">
        <v>3</v>
      </c>
      <c r="H940">
        <v>2016</v>
      </c>
      <c r="I940" t="s">
        <v>694</v>
      </c>
      <c r="J940" t="str">
        <f t="shared" si="28"/>
        <v>Preliminary</v>
      </c>
      <c r="K940">
        <f t="shared" si="29"/>
        <v>0</v>
      </c>
    </row>
    <row r="941" spans="1:11">
      <c r="A941" t="s">
        <v>35</v>
      </c>
      <c r="B941" t="s">
        <v>36</v>
      </c>
      <c r="C941" t="s">
        <v>20</v>
      </c>
      <c r="D941" t="s">
        <v>13</v>
      </c>
      <c r="E941">
        <v>0.125</v>
      </c>
      <c r="F941">
        <v>52</v>
      </c>
      <c r="G941">
        <v>1</v>
      </c>
      <c r="H941">
        <v>2016</v>
      </c>
      <c r="I941" t="s">
        <v>695</v>
      </c>
      <c r="J941" t="str">
        <f t="shared" si="28"/>
        <v>Preliminary</v>
      </c>
      <c r="K941">
        <f t="shared" si="29"/>
        <v>1</v>
      </c>
    </row>
    <row r="942" spans="1:11">
      <c r="A942" t="s">
        <v>167</v>
      </c>
      <c r="B942" t="s">
        <v>168</v>
      </c>
      <c r="C942" t="s">
        <v>24</v>
      </c>
      <c r="D942" t="s">
        <v>17</v>
      </c>
      <c r="E942">
        <v>0.125</v>
      </c>
      <c r="F942">
        <v>39</v>
      </c>
      <c r="G942">
        <v>2</v>
      </c>
      <c r="H942">
        <v>2016</v>
      </c>
      <c r="I942" t="s">
        <v>695</v>
      </c>
      <c r="J942" t="str">
        <f t="shared" si="28"/>
        <v>Preliminary</v>
      </c>
      <c r="K942">
        <f t="shared" si="29"/>
        <v>0</v>
      </c>
    </row>
    <row r="943" spans="1:11">
      <c r="A943" t="s">
        <v>130</v>
      </c>
      <c r="B943" t="s">
        <v>131</v>
      </c>
      <c r="C943" t="s">
        <v>12</v>
      </c>
      <c r="D943" t="s">
        <v>17</v>
      </c>
      <c r="E943">
        <v>0.125</v>
      </c>
      <c r="F943">
        <v>15</v>
      </c>
      <c r="G943">
        <v>3</v>
      </c>
      <c r="H943">
        <v>2016</v>
      </c>
      <c r="I943" t="s">
        <v>695</v>
      </c>
      <c r="J943" t="str">
        <f t="shared" si="28"/>
        <v>Preliminary</v>
      </c>
      <c r="K943">
        <f t="shared" si="29"/>
        <v>0</v>
      </c>
    </row>
    <row r="944" spans="1:11">
      <c r="A944" t="s">
        <v>29</v>
      </c>
      <c r="B944" t="s">
        <v>30</v>
      </c>
      <c r="C944" t="s">
        <v>24</v>
      </c>
      <c r="D944" t="s">
        <v>31</v>
      </c>
      <c r="E944">
        <v>0.125</v>
      </c>
      <c r="F944">
        <v>40</v>
      </c>
      <c r="G944">
        <v>1</v>
      </c>
      <c r="H944">
        <v>2016</v>
      </c>
      <c r="I944" t="s">
        <v>696</v>
      </c>
      <c r="J944" t="str">
        <f t="shared" si="28"/>
        <v>Preliminary</v>
      </c>
      <c r="K944">
        <f t="shared" si="29"/>
        <v>1</v>
      </c>
    </row>
    <row r="945" spans="1:11">
      <c r="A945" t="s">
        <v>628</v>
      </c>
      <c r="B945" t="s">
        <v>629</v>
      </c>
      <c r="C945" t="s">
        <v>24</v>
      </c>
      <c r="D945" t="s">
        <v>17</v>
      </c>
      <c r="E945">
        <v>0.125</v>
      </c>
      <c r="F945">
        <v>36</v>
      </c>
      <c r="G945">
        <v>2</v>
      </c>
      <c r="H945">
        <v>2016</v>
      </c>
      <c r="I945" t="s">
        <v>696</v>
      </c>
      <c r="J945" t="str">
        <f t="shared" si="28"/>
        <v>Preliminary</v>
      </c>
      <c r="K945">
        <f t="shared" si="29"/>
        <v>0</v>
      </c>
    </row>
    <row r="946" spans="1:11">
      <c r="A946" t="s">
        <v>247</v>
      </c>
      <c r="B946" t="s">
        <v>248</v>
      </c>
      <c r="C946" t="s">
        <v>195</v>
      </c>
      <c r="D946" t="s">
        <v>13</v>
      </c>
      <c r="E946">
        <v>0.125</v>
      </c>
      <c r="F946">
        <v>34</v>
      </c>
      <c r="G946">
        <v>3</v>
      </c>
      <c r="H946">
        <v>2016</v>
      </c>
      <c r="I946" t="s">
        <v>696</v>
      </c>
      <c r="J946" t="str">
        <f t="shared" si="28"/>
        <v>Preliminary</v>
      </c>
      <c r="K946">
        <f t="shared" si="29"/>
        <v>0</v>
      </c>
    </row>
    <row r="947" spans="1:11">
      <c r="A947" t="s">
        <v>178</v>
      </c>
      <c r="B947" t="s">
        <v>179</v>
      </c>
      <c r="C947" t="s">
        <v>12</v>
      </c>
      <c r="D947" t="s">
        <v>13</v>
      </c>
      <c r="E947">
        <v>0.125</v>
      </c>
      <c r="F947">
        <v>49</v>
      </c>
      <c r="G947">
        <v>1</v>
      </c>
      <c r="H947">
        <v>2016</v>
      </c>
      <c r="I947" t="s">
        <v>697</v>
      </c>
      <c r="J947" t="str">
        <f t="shared" si="28"/>
        <v>Preliminary</v>
      </c>
      <c r="K947">
        <f t="shared" si="29"/>
        <v>1</v>
      </c>
    </row>
    <row r="948" spans="1:11">
      <c r="A948" t="s">
        <v>64</v>
      </c>
      <c r="B948" t="s">
        <v>65</v>
      </c>
      <c r="C948" t="s">
        <v>12</v>
      </c>
      <c r="D948" t="s">
        <v>17</v>
      </c>
      <c r="E948">
        <v>0.125</v>
      </c>
      <c r="F948">
        <v>33</v>
      </c>
      <c r="G948">
        <v>2</v>
      </c>
      <c r="H948">
        <v>2016</v>
      </c>
      <c r="I948" t="s">
        <v>697</v>
      </c>
      <c r="J948" t="str">
        <f t="shared" si="28"/>
        <v>Preliminary</v>
      </c>
      <c r="K948">
        <f t="shared" si="29"/>
        <v>0</v>
      </c>
    </row>
    <row r="949" spans="1:11">
      <c r="A949" t="s">
        <v>612</v>
      </c>
      <c r="B949" t="s">
        <v>613</v>
      </c>
      <c r="C949" t="s">
        <v>50</v>
      </c>
      <c r="D949" t="s">
        <v>17</v>
      </c>
      <c r="E949">
        <v>0.125</v>
      </c>
      <c r="F949">
        <v>27</v>
      </c>
      <c r="G949">
        <v>3</v>
      </c>
      <c r="H949">
        <v>2016</v>
      </c>
      <c r="I949" t="s">
        <v>697</v>
      </c>
      <c r="J949" t="str">
        <f t="shared" si="28"/>
        <v>Preliminary</v>
      </c>
      <c r="K949">
        <f t="shared" si="29"/>
        <v>0</v>
      </c>
    </row>
    <row r="950" spans="1:11">
      <c r="A950" t="s">
        <v>639</v>
      </c>
      <c r="B950" t="s">
        <v>640</v>
      </c>
      <c r="C950" t="s">
        <v>24</v>
      </c>
      <c r="D950" t="s">
        <v>31</v>
      </c>
      <c r="E950">
        <v>0.125</v>
      </c>
      <c r="F950">
        <v>52</v>
      </c>
      <c r="G950">
        <v>1</v>
      </c>
      <c r="H950">
        <v>2016</v>
      </c>
      <c r="I950" t="s">
        <v>698</v>
      </c>
      <c r="J950" t="str">
        <f t="shared" si="28"/>
        <v>Preliminary</v>
      </c>
      <c r="K950">
        <f t="shared" si="29"/>
        <v>1</v>
      </c>
    </row>
    <row r="951" spans="1:11">
      <c r="A951" t="s">
        <v>302</v>
      </c>
      <c r="B951" t="s">
        <v>303</v>
      </c>
      <c r="C951" t="s">
        <v>195</v>
      </c>
      <c r="D951" t="s">
        <v>17</v>
      </c>
      <c r="E951">
        <v>0.125</v>
      </c>
      <c r="F951">
        <v>41</v>
      </c>
      <c r="G951">
        <v>2</v>
      </c>
      <c r="H951">
        <v>2016</v>
      </c>
      <c r="I951" t="s">
        <v>698</v>
      </c>
      <c r="J951" t="str">
        <f t="shared" si="28"/>
        <v>Preliminary</v>
      </c>
      <c r="K951">
        <f t="shared" si="29"/>
        <v>0</v>
      </c>
    </row>
    <row r="952" spans="1:11">
      <c r="A952" t="s">
        <v>384</v>
      </c>
      <c r="B952" t="s">
        <v>385</v>
      </c>
      <c r="C952" t="s">
        <v>24</v>
      </c>
      <c r="D952" t="s">
        <v>17</v>
      </c>
      <c r="E952">
        <v>0.125</v>
      </c>
      <c r="F952">
        <v>37</v>
      </c>
      <c r="G952">
        <v>3</v>
      </c>
      <c r="H952">
        <v>2016</v>
      </c>
      <c r="I952" t="s">
        <v>698</v>
      </c>
      <c r="J952" t="str">
        <f t="shared" si="28"/>
        <v>Preliminary</v>
      </c>
      <c r="K952">
        <f t="shared" si="29"/>
        <v>0</v>
      </c>
    </row>
    <row r="953" spans="1:11">
      <c r="A953" t="s">
        <v>142</v>
      </c>
      <c r="B953" t="s">
        <v>143</v>
      </c>
      <c r="C953" t="s">
        <v>24</v>
      </c>
      <c r="D953" t="s">
        <v>17</v>
      </c>
      <c r="E953">
        <v>0.125</v>
      </c>
      <c r="F953">
        <v>42</v>
      </c>
      <c r="G953">
        <v>1</v>
      </c>
      <c r="H953">
        <v>2016</v>
      </c>
      <c r="I953" t="s">
        <v>699</v>
      </c>
      <c r="J953" t="str">
        <f t="shared" si="28"/>
        <v>Preliminary</v>
      </c>
      <c r="K953">
        <f t="shared" si="29"/>
        <v>1</v>
      </c>
    </row>
    <row r="954" spans="1:11">
      <c r="A954" t="s">
        <v>212</v>
      </c>
      <c r="B954" t="s">
        <v>213</v>
      </c>
      <c r="C954" t="s">
        <v>20</v>
      </c>
      <c r="D954" t="s">
        <v>17</v>
      </c>
      <c r="E954">
        <v>0.125</v>
      </c>
      <c r="F954">
        <v>33</v>
      </c>
      <c r="G954">
        <v>2</v>
      </c>
      <c r="H954">
        <v>2016</v>
      </c>
      <c r="I954" t="s">
        <v>699</v>
      </c>
      <c r="J954" t="str">
        <f t="shared" si="28"/>
        <v>Preliminary</v>
      </c>
      <c r="K954">
        <f t="shared" si="29"/>
        <v>0</v>
      </c>
    </row>
    <row r="955" spans="1:11">
      <c r="A955" t="s">
        <v>41</v>
      </c>
      <c r="B955" t="s">
        <v>42</v>
      </c>
      <c r="C955" t="s">
        <v>27</v>
      </c>
      <c r="D955" t="s">
        <v>17</v>
      </c>
      <c r="E955">
        <v>0.125</v>
      </c>
      <c r="F955">
        <v>22</v>
      </c>
      <c r="G955">
        <v>3</v>
      </c>
      <c r="H955">
        <v>2016</v>
      </c>
      <c r="I955" t="s">
        <v>699</v>
      </c>
      <c r="J955" t="str">
        <f t="shared" si="28"/>
        <v>Preliminary</v>
      </c>
      <c r="K955">
        <f t="shared" si="29"/>
        <v>0</v>
      </c>
    </row>
    <row r="956" spans="1:11">
      <c r="A956" t="s">
        <v>140</v>
      </c>
      <c r="B956" t="s">
        <v>141</v>
      </c>
      <c r="C956" t="s">
        <v>24</v>
      </c>
      <c r="D956" t="s">
        <v>17</v>
      </c>
      <c r="E956">
        <v>0.125</v>
      </c>
      <c r="F956">
        <v>46</v>
      </c>
      <c r="G956">
        <v>1</v>
      </c>
      <c r="H956">
        <v>2016</v>
      </c>
      <c r="I956" t="s">
        <v>700</v>
      </c>
      <c r="J956" t="str">
        <f t="shared" si="28"/>
        <v>Preliminary</v>
      </c>
      <c r="K956">
        <f t="shared" si="29"/>
        <v>1</v>
      </c>
    </row>
    <row r="957" spans="1:11">
      <c r="A957" t="s">
        <v>543</v>
      </c>
      <c r="B957" t="s">
        <v>544</v>
      </c>
      <c r="C957" t="s">
        <v>20</v>
      </c>
      <c r="D957" t="s">
        <v>17</v>
      </c>
      <c r="E957">
        <v>0.125</v>
      </c>
      <c r="F957">
        <v>43</v>
      </c>
      <c r="G957">
        <v>2</v>
      </c>
      <c r="H957">
        <v>2016</v>
      </c>
      <c r="I957" t="s">
        <v>700</v>
      </c>
      <c r="J957" t="str">
        <f t="shared" si="28"/>
        <v>Preliminary</v>
      </c>
      <c r="K957">
        <f t="shared" si="29"/>
        <v>0</v>
      </c>
    </row>
    <row r="958" spans="1:11">
      <c r="A958" t="s">
        <v>334</v>
      </c>
      <c r="B958" t="s">
        <v>335</v>
      </c>
      <c r="C958" t="s">
        <v>27</v>
      </c>
      <c r="D958" t="s">
        <v>17</v>
      </c>
      <c r="E958">
        <v>0.125</v>
      </c>
      <c r="F958">
        <v>33</v>
      </c>
      <c r="G958">
        <v>3</v>
      </c>
      <c r="H958">
        <v>2016</v>
      </c>
      <c r="I958" t="s">
        <v>700</v>
      </c>
      <c r="J958" t="str">
        <f t="shared" si="28"/>
        <v>Preliminary</v>
      </c>
      <c r="K958">
        <f t="shared" si="29"/>
        <v>0</v>
      </c>
    </row>
    <row r="959" spans="1:11">
      <c r="A959" t="s">
        <v>75</v>
      </c>
      <c r="B959" t="s">
        <v>76</v>
      </c>
      <c r="C959" t="s">
        <v>39</v>
      </c>
      <c r="D959" t="s">
        <v>17</v>
      </c>
      <c r="E959">
        <v>0.125</v>
      </c>
      <c r="F959">
        <v>52</v>
      </c>
      <c r="G959">
        <v>1</v>
      </c>
      <c r="H959">
        <v>2016</v>
      </c>
      <c r="I959" t="s">
        <v>701</v>
      </c>
      <c r="J959" t="str">
        <f t="shared" si="28"/>
        <v>Preliminary</v>
      </c>
      <c r="K959">
        <f t="shared" si="29"/>
        <v>1</v>
      </c>
    </row>
    <row r="960" spans="1:11">
      <c r="A960" t="s">
        <v>702</v>
      </c>
      <c r="B960" t="s">
        <v>703</v>
      </c>
      <c r="C960" t="s">
        <v>704</v>
      </c>
      <c r="D960" t="s">
        <v>17</v>
      </c>
      <c r="E960">
        <v>0.125</v>
      </c>
      <c r="F960">
        <v>42</v>
      </c>
      <c r="G960">
        <v>2</v>
      </c>
      <c r="H960">
        <v>2016</v>
      </c>
      <c r="I960" t="s">
        <v>701</v>
      </c>
      <c r="J960" t="str">
        <f t="shared" si="28"/>
        <v>Preliminary</v>
      </c>
      <c r="K960">
        <f t="shared" si="29"/>
        <v>0</v>
      </c>
    </row>
    <row r="961" spans="1:11">
      <c r="A961" t="s">
        <v>280</v>
      </c>
      <c r="B961" t="s">
        <v>281</v>
      </c>
      <c r="C961" t="s">
        <v>39</v>
      </c>
      <c r="D961" t="s">
        <v>17</v>
      </c>
      <c r="E961">
        <v>0.125</v>
      </c>
      <c r="F961">
        <v>30</v>
      </c>
      <c r="G961">
        <v>3</v>
      </c>
      <c r="H961">
        <v>2016</v>
      </c>
      <c r="I961" t="s">
        <v>701</v>
      </c>
      <c r="J961" t="str">
        <f t="shared" si="28"/>
        <v>Preliminary</v>
      </c>
      <c r="K961">
        <f t="shared" si="29"/>
        <v>0</v>
      </c>
    </row>
    <row r="962" spans="1:11">
      <c r="A962" t="s">
        <v>22</v>
      </c>
      <c r="B962" t="s">
        <v>23</v>
      </c>
      <c r="C962" t="s">
        <v>24</v>
      </c>
      <c r="D962" t="s">
        <v>13</v>
      </c>
      <c r="E962">
        <v>1</v>
      </c>
      <c r="F962">
        <v>47</v>
      </c>
      <c r="G962">
        <v>1</v>
      </c>
      <c r="H962">
        <v>2024</v>
      </c>
      <c r="I962" t="s">
        <v>705</v>
      </c>
      <c r="J962" t="str">
        <f t="shared" si="28"/>
        <v>Final</v>
      </c>
      <c r="K962">
        <f t="shared" si="29"/>
        <v>1</v>
      </c>
    </row>
    <row r="963" spans="1:11">
      <c r="A963" t="s">
        <v>81</v>
      </c>
      <c r="B963" t="s">
        <v>82</v>
      </c>
      <c r="C963" t="s">
        <v>24</v>
      </c>
      <c r="D963" t="s">
        <v>13</v>
      </c>
      <c r="E963">
        <v>1</v>
      </c>
      <c r="F963">
        <v>46</v>
      </c>
      <c r="G963">
        <v>2</v>
      </c>
      <c r="H963">
        <v>2024</v>
      </c>
      <c r="I963" t="s">
        <v>705</v>
      </c>
      <c r="J963" t="str">
        <f t="shared" ref="J963:J1026" si="30">IF(E963=1,"Final",IF(E963=0.5,"Semifinal",IF(E963=0.25,"Quarterfinal",IF(E963=0.125,"Preliminary","Unknown"))))</f>
        <v>Final</v>
      </c>
      <c r="K963">
        <f t="shared" ref="K963:K1026" si="31">IF(G963=1,1,0)</f>
        <v>0</v>
      </c>
    </row>
    <row r="964" spans="1:11">
      <c r="A964" t="s">
        <v>25</v>
      </c>
      <c r="B964" t="s">
        <v>26</v>
      </c>
      <c r="C964" t="s">
        <v>27</v>
      </c>
      <c r="D964" t="s">
        <v>17</v>
      </c>
      <c r="E964">
        <v>1</v>
      </c>
      <c r="F964">
        <v>33</v>
      </c>
      <c r="G964">
        <v>3</v>
      </c>
      <c r="H964">
        <v>2024</v>
      </c>
      <c r="I964" t="s">
        <v>705</v>
      </c>
      <c r="J964" t="str">
        <f t="shared" si="30"/>
        <v>Final</v>
      </c>
      <c r="K964">
        <f t="shared" si="31"/>
        <v>0</v>
      </c>
    </row>
    <row r="965" spans="1:11">
      <c r="A965" t="s">
        <v>22</v>
      </c>
      <c r="B965" t="s">
        <v>23</v>
      </c>
      <c r="C965" t="s">
        <v>24</v>
      </c>
      <c r="D965" t="s">
        <v>13</v>
      </c>
      <c r="E965">
        <v>0.5</v>
      </c>
      <c r="F965">
        <v>56</v>
      </c>
      <c r="G965">
        <v>1</v>
      </c>
      <c r="H965">
        <v>2024</v>
      </c>
      <c r="I965" t="s">
        <v>706</v>
      </c>
      <c r="J965" t="str">
        <f t="shared" si="30"/>
        <v>Semifinal</v>
      </c>
      <c r="K965">
        <f t="shared" si="31"/>
        <v>1</v>
      </c>
    </row>
    <row r="966" spans="1:11">
      <c r="A966" t="s">
        <v>10</v>
      </c>
      <c r="B966" t="s">
        <v>11</v>
      </c>
      <c r="C966" t="s">
        <v>12</v>
      </c>
      <c r="D966" t="s">
        <v>13</v>
      </c>
      <c r="E966">
        <v>0.5</v>
      </c>
      <c r="F966">
        <v>53</v>
      </c>
      <c r="G966">
        <v>2</v>
      </c>
      <c r="H966">
        <v>2024</v>
      </c>
      <c r="I966" t="s">
        <v>706</v>
      </c>
      <c r="J966" t="str">
        <f t="shared" si="30"/>
        <v>Semifinal</v>
      </c>
      <c r="K966">
        <f t="shared" si="31"/>
        <v>0</v>
      </c>
    </row>
    <row r="967" spans="1:11">
      <c r="A967" t="s">
        <v>57</v>
      </c>
      <c r="B967" t="s">
        <v>58</v>
      </c>
      <c r="C967" t="s">
        <v>20</v>
      </c>
      <c r="D967" t="s">
        <v>13</v>
      </c>
      <c r="E967">
        <v>0.5</v>
      </c>
      <c r="F967">
        <v>27</v>
      </c>
      <c r="G967">
        <v>3</v>
      </c>
      <c r="H967">
        <v>2024</v>
      </c>
      <c r="I967" t="s">
        <v>706</v>
      </c>
      <c r="J967" t="str">
        <f t="shared" si="30"/>
        <v>Semifinal</v>
      </c>
      <c r="K967">
        <f t="shared" si="31"/>
        <v>0</v>
      </c>
    </row>
    <row r="968" spans="1:11">
      <c r="A968" t="s">
        <v>81</v>
      </c>
      <c r="B968" t="s">
        <v>82</v>
      </c>
      <c r="C968" t="s">
        <v>24</v>
      </c>
      <c r="D968" t="s">
        <v>13</v>
      </c>
      <c r="E968">
        <v>0.5</v>
      </c>
      <c r="F968">
        <v>52</v>
      </c>
      <c r="G968">
        <v>1</v>
      </c>
      <c r="H968">
        <v>2024</v>
      </c>
      <c r="I968" t="s">
        <v>707</v>
      </c>
      <c r="J968" t="str">
        <f t="shared" si="30"/>
        <v>Semifinal</v>
      </c>
      <c r="K968">
        <f t="shared" si="31"/>
        <v>1</v>
      </c>
    </row>
    <row r="969" spans="1:11">
      <c r="A969" t="s">
        <v>140</v>
      </c>
      <c r="B969" t="s">
        <v>141</v>
      </c>
      <c r="C969" t="s">
        <v>24</v>
      </c>
      <c r="D969" t="s">
        <v>17</v>
      </c>
      <c r="E969">
        <v>0.5</v>
      </c>
      <c r="F969">
        <v>49</v>
      </c>
      <c r="G969">
        <v>2</v>
      </c>
      <c r="H969">
        <v>2024</v>
      </c>
      <c r="I969" t="s">
        <v>707</v>
      </c>
      <c r="J969" t="str">
        <f t="shared" si="30"/>
        <v>Semifinal</v>
      </c>
      <c r="K969">
        <f t="shared" si="31"/>
        <v>0</v>
      </c>
    </row>
    <row r="970" spans="1:11">
      <c r="A970" t="s">
        <v>29</v>
      </c>
      <c r="B970" t="s">
        <v>30</v>
      </c>
      <c r="C970" t="s">
        <v>24</v>
      </c>
      <c r="D970" t="s">
        <v>31</v>
      </c>
      <c r="E970">
        <v>0.5</v>
      </c>
      <c r="F970">
        <v>37</v>
      </c>
      <c r="G970">
        <v>3</v>
      </c>
      <c r="H970">
        <v>2024</v>
      </c>
      <c r="I970" t="s">
        <v>707</v>
      </c>
      <c r="J970" t="str">
        <f t="shared" si="30"/>
        <v>Semifinal</v>
      </c>
      <c r="K970">
        <f t="shared" si="31"/>
        <v>0</v>
      </c>
    </row>
    <row r="971" spans="1:11">
      <c r="A971" t="s">
        <v>25</v>
      </c>
      <c r="B971" t="s">
        <v>26</v>
      </c>
      <c r="C971" t="s">
        <v>27</v>
      </c>
      <c r="D971" t="s">
        <v>17</v>
      </c>
      <c r="E971">
        <v>0.5</v>
      </c>
      <c r="F971">
        <v>38</v>
      </c>
      <c r="G971">
        <v>1</v>
      </c>
      <c r="H971">
        <v>2024</v>
      </c>
      <c r="I971" t="s">
        <v>708</v>
      </c>
      <c r="J971" t="str">
        <f t="shared" si="30"/>
        <v>Semifinal</v>
      </c>
      <c r="K971">
        <f t="shared" si="31"/>
        <v>1</v>
      </c>
    </row>
    <row r="972" spans="1:11">
      <c r="A972" t="s">
        <v>202</v>
      </c>
      <c r="B972" t="s">
        <v>203</v>
      </c>
      <c r="C972" t="s">
        <v>39</v>
      </c>
      <c r="D972" t="s">
        <v>13</v>
      </c>
      <c r="E972">
        <v>0.5</v>
      </c>
      <c r="F972">
        <v>27</v>
      </c>
      <c r="G972">
        <v>2</v>
      </c>
      <c r="H972">
        <v>2024</v>
      </c>
      <c r="I972" t="s">
        <v>708</v>
      </c>
      <c r="J972" t="str">
        <f t="shared" si="30"/>
        <v>Semifinal</v>
      </c>
      <c r="K972">
        <f t="shared" si="31"/>
        <v>0</v>
      </c>
    </row>
    <row r="973" spans="1:11">
      <c r="A973" t="s">
        <v>78</v>
      </c>
      <c r="B973" t="s">
        <v>79</v>
      </c>
      <c r="C973" t="s">
        <v>80</v>
      </c>
      <c r="D973" t="s">
        <v>17</v>
      </c>
      <c r="E973">
        <v>0.5</v>
      </c>
      <c r="F973">
        <v>24</v>
      </c>
      <c r="G973">
        <v>3</v>
      </c>
      <c r="H973">
        <v>2024</v>
      </c>
      <c r="I973" t="s">
        <v>708</v>
      </c>
      <c r="J973" t="str">
        <f t="shared" si="30"/>
        <v>Semifinal</v>
      </c>
      <c r="K973">
        <f t="shared" si="31"/>
        <v>0</v>
      </c>
    </row>
    <row r="974" spans="1:11">
      <c r="A974" t="s">
        <v>22</v>
      </c>
      <c r="B974" t="s">
        <v>23</v>
      </c>
      <c r="C974" t="s">
        <v>24</v>
      </c>
      <c r="D974" t="s">
        <v>13</v>
      </c>
      <c r="E974">
        <v>0.25</v>
      </c>
      <c r="F974">
        <v>56</v>
      </c>
      <c r="G974">
        <v>1</v>
      </c>
      <c r="H974">
        <v>2024</v>
      </c>
      <c r="I974" t="s">
        <v>709</v>
      </c>
      <c r="J974" t="str">
        <f t="shared" si="30"/>
        <v>Quarterfinal</v>
      </c>
      <c r="K974">
        <f t="shared" si="31"/>
        <v>1</v>
      </c>
    </row>
    <row r="975" spans="1:11">
      <c r="A975" t="s">
        <v>35</v>
      </c>
      <c r="B975" t="s">
        <v>36</v>
      </c>
      <c r="C975" t="s">
        <v>20</v>
      </c>
      <c r="D975" t="s">
        <v>13</v>
      </c>
      <c r="E975">
        <v>0.25</v>
      </c>
      <c r="F975">
        <v>53</v>
      </c>
      <c r="G975">
        <v>2</v>
      </c>
      <c r="H975">
        <v>2024</v>
      </c>
      <c r="I975" t="s">
        <v>709</v>
      </c>
      <c r="J975" t="str">
        <f t="shared" si="30"/>
        <v>Quarterfinal</v>
      </c>
      <c r="K975">
        <f t="shared" si="31"/>
        <v>0</v>
      </c>
    </row>
    <row r="976" spans="1:11">
      <c r="A976" t="s">
        <v>152</v>
      </c>
      <c r="B976" t="s">
        <v>153</v>
      </c>
      <c r="C976" t="s">
        <v>24</v>
      </c>
      <c r="D976" t="s">
        <v>17</v>
      </c>
      <c r="E976">
        <v>0.25</v>
      </c>
      <c r="F976">
        <v>27</v>
      </c>
      <c r="G976">
        <v>3</v>
      </c>
      <c r="H976">
        <v>2024</v>
      </c>
      <c r="I976" t="s">
        <v>709</v>
      </c>
      <c r="J976" t="str">
        <f t="shared" si="30"/>
        <v>Quarterfinal</v>
      </c>
      <c r="K976">
        <f t="shared" si="31"/>
        <v>0</v>
      </c>
    </row>
    <row r="977" spans="1:11">
      <c r="A977" t="s">
        <v>10</v>
      </c>
      <c r="B977" t="s">
        <v>11</v>
      </c>
      <c r="C977" t="s">
        <v>12</v>
      </c>
      <c r="D977" t="s">
        <v>13</v>
      </c>
      <c r="E977">
        <v>0.25</v>
      </c>
      <c r="F977">
        <v>59</v>
      </c>
      <c r="G977">
        <v>1</v>
      </c>
      <c r="H977">
        <v>2024</v>
      </c>
      <c r="I977" t="s">
        <v>710</v>
      </c>
      <c r="J977" t="str">
        <f t="shared" si="30"/>
        <v>Quarterfinal</v>
      </c>
      <c r="K977">
        <f t="shared" si="31"/>
        <v>1</v>
      </c>
    </row>
    <row r="978" spans="1:11">
      <c r="A978" t="s">
        <v>37</v>
      </c>
      <c r="B978" t="s">
        <v>38</v>
      </c>
      <c r="C978" t="s">
        <v>39</v>
      </c>
      <c r="D978" t="s">
        <v>13</v>
      </c>
      <c r="E978">
        <v>0.25</v>
      </c>
      <c r="F978">
        <v>46</v>
      </c>
      <c r="G978">
        <v>2</v>
      </c>
      <c r="H978">
        <v>2024</v>
      </c>
      <c r="I978" t="s">
        <v>710</v>
      </c>
      <c r="J978" t="str">
        <f t="shared" si="30"/>
        <v>Quarterfinal</v>
      </c>
      <c r="K978">
        <f t="shared" si="31"/>
        <v>0</v>
      </c>
    </row>
    <row r="979" spans="1:11">
      <c r="A979" t="s">
        <v>72</v>
      </c>
      <c r="B979" t="s">
        <v>73</v>
      </c>
      <c r="C979" t="s">
        <v>74</v>
      </c>
      <c r="D979" t="s">
        <v>13</v>
      </c>
      <c r="E979">
        <v>0.25</v>
      </c>
      <c r="F979">
        <v>31</v>
      </c>
      <c r="G979">
        <v>3</v>
      </c>
      <c r="H979">
        <v>2024</v>
      </c>
      <c r="I979" t="s">
        <v>710</v>
      </c>
      <c r="J979" t="str">
        <f t="shared" si="30"/>
        <v>Quarterfinal</v>
      </c>
      <c r="K979">
        <f t="shared" si="31"/>
        <v>0</v>
      </c>
    </row>
    <row r="980" spans="1:11">
      <c r="A980" t="s">
        <v>29</v>
      </c>
      <c r="B980" t="s">
        <v>30</v>
      </c>
      <c r="C980" t="s">
        <v>24</v>
      </c>
      <c r="D980" t="s">
        <v>31</v>
      </c>
      <c r="E980">
        <v>0.25</v>
      </c>
      <c r="F980">
        <v>51</v>
      </c>
      <c r="G980">
        <v>1</v>
      </c>
      <c r="H980">
        <v>2024</v>
      </c>
      <c r="I980" t="s">
        <v>711</v>
      </c>
      <c r="J980" t="str">
        <f t="shared" si="30"/>
        <v>Quarterfinal</v>
      </c>
      <c r="K980">
        <f t="shared" si="31"/>
        <v>1</v>
      </c>
    </row>
    <row r="981" spans="1:11">
      <c r="A981" t="s">
        <v>197</v>
      </c>
      <c r="B981" t="s">
        <v>198</v>
      </c>
      <c r="C981" t="s">
        <v>39</v>
      </c>
      <c r="D981" t="s">
        <v>13</v>
      </c>
      <c r="E981">
        <v>0.25</v>
      </c>
      <c r="F981">
        <v>48</v>
      </c>
      <c r="G981">
        <v>2</v>
      </c>
      <c r="H981">
        <v>2024</v>
      </c>
      <c r="I981" t="s">
        <v>711</v>
      </c>
      <c r="J981" t="str">
        <f t="shared" si="30"/>
        <v>Quarterfinal</v>
      </c>
      <c r="K981">
        <f t="shared" si="31"/>
        <v>0</v>
      </c>
    </row>
    <row r="982" spans="1:11">
      <c r="A982" t="s">
        <v>41</v>
      </c>
      <c r="B982" t="s">
        <v>42</v>
      </c>
      <c r="C982" t="s">
        <v>27</v>
      </c>
      <c r="D982" t="s">
        <v>17</v>
      </c>
      <c r="E982">
        <v>0.25</v>
      </c>
      <c r="F982">
        <v>24</v>
      </c>
      <c r="G982">
        <v>3</v>
      </c>
      <c r="H982">
        <v>2024</v>
      </c>
      <c r="I982" t="s">
        <v>711</v>
      </c>
      <c r="J982" t="str">
        <f t="shared" si="30"/>
        <v>Quarterfinal</v>
      </c>
      <c r="K982">
        <f t="shared" si="31"/>
        <v>0</v>
      </c>
    </row>
    <row r="983" spans="1:11">
      <c r="A983" t="s">
        <v>81</v>
      </c>
      <c r="B983" t="s">
        <v>82</v>
      </c>
      <c r="C983" t="s">
        <v>24</v>
      </c>
      <c r="D983" t="s">
        <v>13</v>
      </c>
      <c r="E983">
        <v>0.25</v>
      </c>
      <c r="F983">
        <v>56</v>
      </c>
      <c r="G983">
        <v>1</v>
      </c>
      <c r="H983">
        <v>2024</v>
      </c>
      <c r="I983" t="s">
        <v>712</v>
      </c>
      <c r="J983" t="str">
        <f t="shared" si="30"/>
        <v>Quarterfinal</v>
      </c>
      <c r="K983">
        <f t="shared" si="31"/>
        <v>1</v>
      </c>
    </row>
    <row r="984" spans="1:11">
      <c r="A984" t="s">
        <v>207</v>
      </c>
      <c r="B984" t="s">
        <v>208</v>
      </c>
      <c r="C984" t="s">
        <v>20</v>
      </c>
      <c r="D984" t="s">
        <v>13</v>
      </c>
      <c r="E984">
        <v>0.25</v>
      </c>
      <c r="F984">
        <v>42</v>
      </c>
      <c r="G984">
        <v>2</v>
      </c>
      <c r="H984">
        <v>2024</v>
      </c>
      <c r="I984" t="s">
        <v>712</v>
      </c>
      <c r="J984" t="str">
        <f t="shared" si="30"/>
        <v>Quarterfinal</v>
      </c>
      <c r="K984">
        <f t="shared" si="31"/>
        <v>0</v>
      </c>
    </row>
    <row r="985" spans="1:11">
      <c r="A985" t="s">
        <v>69</v>
      </c>
      <c r="B985" t="s">
        <v>70</v>
      </c>
      <c r="C985" t="s">
        <v>27</v>
      </c>
      <c r="D985" t="s">
        <v>13</v>
      </c>
      <c r="E985">
        <v>0.25</v>
      </c>
      <c r="F985">
        <v>35</v>
      </c>
      <c r="G985">
        <v>3</v>
      </c>
      <c r="H985">
        <v>2024</v>
      </c>
      <c r="I985" t="s">
        <v>712</v>
      </c>
      <c r="J985" t="str">
        <f t="shared" si="30"/>
        <v>Quarterfinal</v>
      </c>
      <c r="K985">
        <f t="shared" si="31"/>
        <v>0</v>
      </c>
    </row>
    <row r="986" spans="1:11">
      <c r="A986" t="s">
        <v>140</v>
      </c>
      <c r="B986" t="s">
        <v>141</v>
      </c>
      <c r="C986" t="s">
        <v>24</v>
      </c>
      <c r="D986" t="s">
        <v>17</v>
      </c>
      <c r="E986">
        <v>0.25</v>
      </c>
      <c r="F986">
        <v>46</v>
      </c>
      <c r="G986">
        <v>1</v>
      </c>
      <c r="H986">
        <v>2024</v>
      </c>
      <c r="I986" t="s">
        <v>713</v>
      </c>
      <c r="J986" t="str">
        <f t="shared" si="30"/>
        <v>Quarterfinal</v>
      </c>
      <c r="K986">
        <f t="shared" si="31"/>
        <v>1</v>
      </c>
    </row>
    <row r="987" spans="1:11">
      <c r="A987" t="s">
        <v>18</v>
      </c>
      <c r="B987" t="s">
        <v>19</v>
      </c>
      <c r="C987" t="s">
        <v>20</v>
      </c>
      <c r="D987" t="s">
        <v>13</v>
      </c>
      <c r="E987">
        <v>0.25</v>
      </c>
      <c r="F987">
        <v>45</v>
      </c>
      <c r="G987">
        <v>2</v>
      </c>
      <c r="H987">
        <v>2024</v>
      </c>
      <c r="I987" t="s">
        <v>713</v>
      </c>
      <c r="J987" t="str">
        <f t="shared" si="30"/>
        <v>Quarterfinal</v>
      </c>
      <c r="K987">
        <f t="shared" si="31"/>
        <v>0</v>
      </c>
    </row>
    <row r="988" spans="1:11">
      <c r="A988" t="s">
        <v>75</v>
      </c>
      <c r="B988" t="s">
        <v>76</v>
      </c>
      <c r="C988" t="s">
        <v>39</v>
      </c>
      <c r="D988" t="s">
        <v>17</v>
      </c>
      <c r="E988">
        <v>0.25</v>
      </c>
      <c r="F988">
        <v>35</v>
      </c>
      <c r="G988">
        <v>3</v>
      </c>
      <c r="H988">
        <v>2024</v>
      </c>
      <c r="I988" t="s">
        <v>713</v>
      </c>
      <c r="J988" t="str">
        <f t="shared" si="30"/>
        <v>Quarterfinal</v>
      </c>
      <c r="K988">
        <f t="shared" si="31"/>
        <v>0</v>
      </c>
    </row>
    <row r="989" spans="1:11">
      <c r="A989" t="s">
        <v>57</v>
      </c>
      <c r="B989" t="s">
        <v>58</v>
      </c>
      <c r="C989" t="s">
        <v>20</v>
      </c>
      <c r="D989" t="s">
        <v>13</v>
      </c>
      <c r="E989">
        <v>0.25</v>
      </c>
      <c r="F989">
        <v>46</v>
      </c>
      <c r="G989">
        <v>1</v>
      </c>
      <c r="H989">
        <v>2024</v>
      </c>
      <c r="I989" t="s">
        <v>714</v>
      </c>
      <c r="J989" t="str">
        <f t="shared" si="30"/>
        <v>Quarterfinal</v>
      </c>
      <c r="K989">
        <f t="shared" si="31"/>
        <v>1</v>
      </c>
    </row>
    <row r="990" spans="1:11">
      <c r="A990" t="s">
        <v>295</v>
      </c>
      <c r="B990" t="s">
        <v>296</v>
      </c>
      <c r="C990" t="s">
        <v>24</v>
      </c>
      <c r="D990" t="s">
        <v>17</v>
      </c>
      <c r="E990">
        <v>0.25</v>
      </c>
      <c r="F990">
        <v>39</v>
      </c>
      <c r="G990">
        <v>2</v>
      </c>
      <c r="H990">
        <v>2024</v>
      </c>
      <c r="I990" t="s">
        <v>714</v>
      </c>
      <c r="J990" t="str">
        <f t="shared" si="30"/>
        <v>Quarterfinal</v>
      </c>
      <c r="K990">
        <f t="shared" si="31"/>
        <v>0</v>
      </c>
    </row>
    <row r="991" spans="1:11">
      <c r="A991" t="s">
        <v>48</v>
      </c>
      <c r="B991" t="s">
        <v>49</v>
      </c>
      <c r="C991" t="s">
        <v>50</v>
      </c>
      <c r="D991" t="s">
        <v>13</v>
      </c>
      <c r="E991">
        <v>0.25</v>
      </c>
      <c r="F991">
        <v>30</v>
      </c>
      <c r="G991">
        <v>3</v>
      </c>
      <c r="H991">
        <v>2024</v>
      </c>
      <c r="I991" t="s">
        <v>714</v>
      </c>
      <c r="J991" t="str">
        <f t="shared" si="30"/>
        <v>Quarterfinal</v>
      </c>
      <c r="K991">
        <f t="shared" si="31"/>
        <v>0</v>
      </c>
    </row>
    <row r="992" spans="1:11">
      <c r="A992" t="s">
        <v>25</v>
      </c>
      <c r="B992" t="s">
        <v>26</v>
      </c>
      <c r="C992" t="s">
        <v>27</v>
      </c>
      <c r="D992" t="s">
        <v>17</v>
      </c>
      <c r="E992">
        <v>0.25</v>
      </c>
      <c r="F992">
        <v>54</v>
      </c>
      <c r="G992">
        <v>1</v>
      </c>
      <c r="H992">
        <v>2024</v>
      </c>
      <c r="I992" t="s">
        <v>715</v>
      </c>
      <c r="J992" t="str">
        <f t="shared" si="30"/>
        <v>Quarterfinal</v>
      </c>
      <c r="K992">
        <f t="shared" si="31"/>
        <v>1</v>
      </c>
    </row>
    <row r="993" spans="1:11">
      <c r="A993" t="s">
        <v>15</v>
      </c>
      <c r="B993" t="s">
        <v>16</v>
      </c>
      <c r="C993" t="s">
        <v>12</v>
      </c>
      <c r="D993" t="s">
        <v>17</v>
      </c>
      <c r="E993">
        <v>0.25</v>
      </c>
      <c r="F993">
        <v>42</v>
      </c>
      <c r="G993">
        <v>2</v>
      </c>
      <c r="H993">
        <v>2024</v>
      </c>
      <c r="I993" t="s">
        <v>715</v>
      </c>
      <c r="J993" t="str">
        <f t="shared" si="30"/>
        <v>Quarterfinal</v>
      </c>
      <c r="K993">
        <f t="shared" si="31"/>
        <v>0</v>
      </c>
    </row>
    <row r="994" spans="1:11">
      <c r="A994" t="s">
        <v>67</v>
      </c>
      <c r="B994" t="s">
        <v>68</v>
      </c>
      <c r="C994" t="s">
        <v>39</v>
      </c>
      <c r="D994" t="s">
        <v>17</v>
      </c>
      <c r="E994">
        <v>0.25</v>
      </c>
      <c r="F994">
        <v>21</v>
      </c>
      <c r="G994">
        <v>3</v>
      </c>
      <c r="H994">
        <v>2024</v>
      </c>
      <c r="I994" t="s">
        <v>715</v>
      </c>
      <c r="J994" t="str">
        <f t="shared" si="30"/>
        <v>Quarterfinal</v>
      </c>
      <c r="K994">
        <f t="shared" si="31"/>
        <v>0</v>
      </c>
    </row>
    <row r="995" spans="1:11">
      <c r="A995" t="s">
        <v>202</v>
      </c>
      <c r="B995" t="s">
        <v>203</v>
      </c>
      <c r="C995" t="s">
        <v>39</v>
      </c>
      <c r="D995" t="s">
        <v>13</v>
      </c>
      <c r="E995">
        <v>0.25</v>
      </c>
      <c r="F995">
        <v>46</v>
      </c>
      <c r="G995">
        <v>1</v>
      </c>
      <c r="H995">
        <v>2024</v>
      </c>
      <c r="I995" t="s">
        <v>716</v>
      </c>
      <c r="J995" t="str">
        <f t="shared" si="30"/>
        <v>Quarterfinal</v>
      </c>
      <c r="K995">
        <f t="shared" si="31"/>
        <v>1</v>
      </c>
    </row>
    <row r="996" spans="1:11">
      <c r="A996" t="s">
        <v>552</v>
      </c>
      <c r="B996" t="s">
        <v>553</v>
      </c>
      <c r="C996" t="s">
        <v>39</v>
      </c>
      <c r="D996" t="s">
        <v>17</v>
      </c>
      <c r="E996">
        <v>0.25</v>
      </c>
      <c r="F996">
        <v>25</v>
      </c>
      <c r="G996">
        <v>2</v>
      </c>
      <c r="H996">
        <v>2024</v>
      </c>
      <c r="I996" t="s">
        <v>716</v>
      </c>
      <c r="J996" t="str">
        <f t="shared" si="30"/>
        <v>Quarterfinal</v>
      </c>
      <c r="K996">
        <f t="shared" si="31"/>
        <v>0</v>
      </c>
    </row>
    <row r="997" spans="1:11">
      <c r="A997" t="s">
        <v>172</v>
      </c>
      <c r="B997" t="s">
        <v>173</v>
      </c>
      <c r="C997" t="s">
        <v>39</v>
      </c>
      <c r="D997" t="s">
        <v>17</v>
      </c>
      <c r="E997">
        <v>0.25</v>
      </c>
      <c r="F997">
        <v>25</v>
      </c>
      <c r="G997">
        <v>3</v>
      </c>
      <c r="H997">
        <v>2024</v>
      </c>
      <c r="I997" t="s">
        <v>716</v>
      </c>
      <c r="J997" t="str">
        <f t="shared" si="30"/>
        <v>Quarterfinal</v>
      </c>
      <c r="K997">
        <f t="shared" si="31"/>
        <v>0</v>
      </c>
    </row>
    <row r="998" spans="1:11">
      <c r="A998" t="s">
        <v>78</v>
      </c>
      <c r="B998" t="s">
        <v>79</v>
      </c>
      <c r="C998" t="s">
        <v>80</v>
      </c>
      <c r="D998" t="s">
        <v>17</v>
      </c>
      <c r="E998">
        <v>0.25</v>
      </c>
      <c r="F998">
        <v>40</v>
      </c>
      <c r="G998">
        <v>1</v>
      </c>
      <c r="H998">
        <v>2024</v>
      </c>
      <c r="I998" t="s">
        <v>717</v>
      </c>
      <c r="J998" t="str">
        <f t="shared" si="30"/>
        <v>Quarterfinal</v>
      </c>
      <c r="K998">
        <f t="shared" si="31"/>
        <v>1</v>
      </c>
    </row>
    <row r="999" spans="1:11">
      <c r="A999" t="s">
        <v>59</v>
      </c>
      <c r="B999" t="s">
        <v>60</v>
      </c>
      <c r="C999" t="s">
        <v>50</v>
      </c>
      <c r="D999" t="s">
        <v>13</v>
      </c>
      <c r="E999">
        <v>0.25</v>
      </c>
      <c r="F999">
        <v>38</v>
      </c>
      <c r="G999">
        <v>2</v>
      </c>
      <c r="H999">
        <v>2024</v>
      </c>
      <c r="I999" t="s">
        <v>717</v>
      </c>
      <c r="J999" t="str">
        <f t="shared" si="30"/>
        <v>Quarterfinal</v>
      </c>
      <c r="K999">
        <f t="shared" si="31"/>
        <v>0</v>
      </c>
    </row>
    <row r="1000" spans="1:11">
      <c r="A1000" t="s">
        <v>46</v>
      </c>
      <c r="B1000" t="s">
        <v>47</v>
      </c>
      <c r="C1000" t="s">
        <v>12</v>
      </c>
      <c r="D1000" t="s">
        <v>13</v>
      </c>
      <c r="E1000">
        <v>0.25</v>
      </c>
      <c r="F1000">
        <v>32</v>
      </c>
      <c r="G1000">
        <v>3</v>
      </c>
      <c r="H1000">
        <v>2024</v>
      </c>
      <c r="I1000" t="s">
        <v>717</v>
      </c>
      <c r="J1000" t="str">
        <f t="shared" si="30"/>
        <v>Quarterfinal</v>
      </c>
      <c r="K1000">
        <f t="shared" si="31"/>
        <v>0</v>
      </c>
    </row>
    <row r="1001" spans="1:11">
      <c r="A1001" t="s">
        <v>22</v>
      </c>
      <c r="B1001" t="s">
        <v>23</v>
      </c>
      <c r="C1001" t="s">
        <v>24</v>
      </c>
      <c r="D1001" t="s">
        <v>13</v>
      </c>
      <c r="E1001">
        <v>0.125</v>
      </c>
      <c r="F1001">
        <v>50</v>
      </c>
      <c r="G1001">
        <v>1</v>
      </c>
      <c r="H1001">
        <v>2024</v>
      </c>
      <c r="I1001" t="s">
        <v>718</v>
      </c>
      <c r="J1001" t="str">
        <f t="shared" si="30"/>
        <v>Preliminary</v>
      </c>
      <c r="K1001">
        <f t="shared" si="31"/>
        <v>1</v>
      </c>
    </row>
    <row r="1002" spans="1:11">
      <c r="A1002" t="s">
        <v>165</v>
      </c>
      <c r="B1002" t="s">
        <v>166</v>
      </c>
      <c r="C1002" t="s">
        <v>24</v>
      </c>
      <c r="D1002" t="s">
        <v>17</v>
      </c>
      <c r="E1002">
        <v>0.125</v>
      </c>
      <c r="F1002">
        <v>43</v>
      </c>
      <c r="G1002">
        <v>2</v>
      </c>
      <c r="H1002">
        <v>2024</v>
      </c>
      <c r="I1002" t="s">
        <v>718</v>
      </c>
      <c r="J1002" t="str">
        <f t="shared" si="30"/>
        <v>Preliminary</v>
      </c>
      <c r="K1002">
        <f t="shared" si="31"/>
        <v>0</v>
      </c>
    </row>
    <row r="1003" spans="1:11">
      <c r="A1003" t="s">
        <v>167</v>
      </c>
      <c r="B1003" t="s">
        <v>168</v>
      </c>
      <c r="C1003" t="s">
        <v>24</v>
      </c>
      <c r="D1003" t="s">
        <v>17</v>
      </c>
      <c r="E1003">
        <v>0.125</v>
      </c>
      <c r="F1003">
        <v>34</v>
      </c>
      <c r="G1003">
        <v>3</v>
      </c>
      <c r="H1003">
        <v>2024</v>
      </c>
      <c r="I1003" t="s">
        <v>718</v>
      </c>
      <c r="J1003" t="str">
        <f t="shared" si="30"/>
        <v>Preliminary</v>
      </c>
      <c r="K1003">
        <f t="shared" si="31"/>
        <v>0</v>
      </c>
    </row>
    <row r="1004" spans="1:11">
      <c r="A1004" t="s">
        <v>35</v>
      </c>
      <c r="B1004" t="s">
        <v>36</v>
      </c>
      <c r="C1004" t="s">
        <v>20</v>
      </c>
      <c r="D1004" t="s">
        <v>13</v>
      </c>
      <c r="E1004">
        <v>0.125</v>
      </c>
      <c r="F1004">
        <v>64</v>
      </c>
      <c r="G1004">
        <v>1</v>
      </c>
      <c r="H1004">
        <v>2024</v>
      </c>
      <c r="I1004" t="s">
        <v>719</v>
      </c>
      <c r="J1004" t="str">
        <f t="shared" si="30"/>
        <v>Preliminary</v>
      </c>
      <c r="K1004">
        <f t="shared" si="31"/>
        <v>1</v>
      </c>
    </row>
    <row r="1005" spans="1:11">
      <c r="A1005" t="s">
        <v>219</v>
      </c>
      <c r="B1005" t="s">
        <v>220</v>
      </c>
      <c r="C1005" t="s">
        <v>27</v>
      </c>
      <c r="D1005" t="s">
        <v>17</v>
      </c>
      <c r="E1005">
        <v>0.125</v>
      </c>
      <c r="F1005">
        <v>36</v>
      </c>
      <c r="G1005">
        <v>2</v>
      </c>
      <c r="H1005">
        <v>2024</v>
      </c>
      <c r="I1005" t="s">
        <v>719</v>
      </c>
      <c r="J1005" t="str">
        <f t="shared" si="30"/>
        <v>Preliminary</v>
      </c>
      <c r="K1005">
        <f t="shared" si="31"/>
        <v>0</v>
      </c>
    </row>
    <row r="1006" spans="1:11">
      <c r="A1006" t="s">
        <v>478</v>
      </c>
      <c r="B1006" t="s">
        <v>479</v>
      </c>
      <c r="C1006" t="s">
        <v>480</v>
      </c>
      <c r="D1006" t="s">
        <v>17</v>
      </c>
      <c r="E1006">
        <v>0.125</v>
      </c>
      <c r="F1006">
        <v>22</v>
      </c>
      <c r="G1006">
        <v>3</v>
      </c>
      <c r="H1006">
        <v>2024</v>
      </c>
      <c r="I1006" t="s">
        <v>719</v>
      </c>
      <c r="J1006" t="str">
        <f t="shared" si="30"/>
        <v>Preliminary</v>
      </c>
      <c r="K1006">
        <f t="shared" si="31"/>
        <v>0</v>
      </c>
    </row>
    <row r="1007" spans="1:11">
      <c r="A1007" t="s">
        <v>152</v>
      </c>
      <c r="B1007" t="s">
        <v>153</v>
      </c>
      <c r="C1007" t="s">
        <v>24</v>
      </c>
      <c r="D1007" t="s">
        <v>17</v>
      </c>
      <c r="E1007">
        <v>0.125</v>
      </c>
      <c r="F1007">
        <v>37</v>
      </c>
      <c r="G1007">
        <v>1</v>
      </c>
      <c r="H1007">
        <v>2024</v>
      </c>
      <c r="I1007" t="s">
        <v>720</v>
      </c>
      <c r="J1007" t="str">
        <f t="shared" si="30"/>
        <v>Preliminary</v>
      </c>
      <c r="K1007">
        <f t="shared" si="31"/>
        <v>1</v>
      </c>
    </row>
    <row r="1008" spans="1:11">
      <c r="A1008" t="s">
        <v>52</v>
      </c>
      <c r="B1008" t="s">
        <v>53</v>
      </c>
      <c r="C1008" t="s">
        <v>20</v>
      </c>
      <c r="D1008" t="s">
        <v>17</v>
      </c>
      <c r="E1008">
        <v>0.125</v>
      </c>
      <c r="F1008">
        <v>35</v>
      </c>
      <c r="G1008">
        <v>2</v>
      </c>
      <c r="H1008">
        <v>2024</v>
      </c>
      <c r="I1008" t="s">
        <v>720</v>
      </c>
      <c r="J1008" t="str">
        <f t="shared" si="30"/>
        <v>Preliminary</v>
      </c>
      <c r="K1008">
        <f t="shared" si="31"/>
        <v>0</v>
      </c>
    </row>
    <row r="1009" spans="1:11">
      <c r="A1009" t="s">
        <v>436</v>
      </c>
      <c r="B1009" t="s">
        <v>437</v>
      </c>
      <c r="C1009" t="s">
        <v>20</v>
      </c>
      <c r="D1009" t="s">
        <v>17</v>
      </c>
      <c r="E1009">
        <v>0.125</v>
      </c>
      <c r="F1009">
        <v>33</v>
      </c>
      <c r="G1009">
        <v>3</v>
      </c>
      <c r="H1009">
        <v>2024</v>
      </c>
      <c r="I1009" t="s">
        <v>720</v>
      </c>
      <c r="J1009" t="str">
        <f t="shared" si="30"/>
        <v>Preliminary</v>
      </c>
      <c r="K1009">
        <f t="shared" si="31"/>
        <v>0</v>
      </c>
    </row>
    <row r="1010" spans="1:11">
      <c r="A1010" t="s">
        <v>10</v>
      </c>
      <c r="B1010" t="s">
        <v>11</v>
      </c>
      <c r="C1010" t="s">
        <v>12</v>
      </c>
      <c r="D1010" t="s">
        <v>13</v>
      </c>
      <c r="E1010">
        <v>0.125</v>
      </c>
      <c r="F1010">
        <v>60</v>
      </c>
      <c r="G1010">
        <v>1</v>
      </c>
      <c r="H1010">
        <v>2024</v>
      </c>
      <c r="I1010" t="s">
        <v>721</v>
      </c>
      <c r="J1010" t="str">
        <f t="shared" si="30"/>
        <v>Preliminary</v>
      </c>
      <c r="K1010">
        <f t="shared" si="31"/>
        <v>1</v>
      </c>
    </row>
    <row r="1011" spans="1:11">
      <c r="A1011" t="s">
        <v>722</v>
      </c>
      <c r="B1011" t="s">
        <v>723</v>
      </c>
      <c r="C1011" t="s">
        <v>20</v>
      </c>
      <c r="D1011" t="s">
        <v>17</v>
      </c>
      <c r="E1011">
        <v>0.125</v>
      </c>
      <c r="F1011">
        <v>21</v>
      </c>
      <c r="G1011">
        <v>2</v>
      </c>
      <c r="H1011">
        <v>2024</v>
      </c>
      <c r="I1011" t="s">
        <v>721</v>
      </c>
      <c r="J1011" t="str">
        <f t="shared" si="30"/>
        <v>Preliminary</v>
      </c>
      <c r="K1011">
        <f t="shared" si="31"/>
        <v>0</v>
      </c>
    </row>
    <row r="1012" spans="1:11">
      <c r="A1012" t="s">
        <v>379</v>
      </c>
      <c r="B1012" t="s">
        <v>380</v>
      </c>
      <c r="C1012" t="s">
        <v>80</v>
      </c>
      <c r="D1012" t="s">
        <v>17</v>
      </c>
      <c r="E1012">
        <v>0.125</v>
      </c>
      <c r="F1012">
        <v>18</v>
      </c>
      <c r="G1012">
        <v>3</v>
      </c>
      <c r="H1012">
        <v>2024</v>
      </c>
      <c r="I1012" t="s">
        <v>721</v>
      </c>
      <c r="J1012" t="str">
        <f t="shared" si="30"/>
        <v>Preliminary</v>
      </c>
      <c r="K1012">
        <f t="shared" si="31"/>
        <v>0</v>
      </c>
    </row>
    <row r="1013" spans="1:11">
      <c r="A1013" t="s">
        <v>197</v>
      </c>
      <c r="B1013" t="s">
        <v>198</v>
      </c>
      <c r="C1013" t="s">
        <v>39</v>
      </c>
      <c r="D1013" t="s">
        <v>13</v>
      </c>
      <c r="E1013">
        <v>0.125</v>
      </c>
      <c r="F1013">
        <v>35</v>
      </c>
      <c r="G1013">
        <v>1</v>
      </c>
      <c r="H1013">
        <v>2024</v>
      </c>
      <c r="I1013" t="s">
        <v>724</v>
      </c>
      <c r="J1013" t="str">
        <f t="shared" si="30"/>
        <v>Preliminary</v>
      </c>
      <c r="K1013">
        <f t="shared" si="31"/>
        <v>1</v>
      </c>
    </row>
    <row r="1014" spans="1:11">
      <c r="A1014" t="s">
        <v>62</v>
      </c>
      <c r="B1014" t="s">
        <v>63</v>
      </c>
      <c r="C1014" t="s">
        <v>20</v>
      </c>
      <c r="D1014" t="s">
        <v>17</v>
      </c>
      <c r="E1014">
        <v>0.125</v>
      </c>
      <c r="F1014">
        <v>28</v>
      </c>
      <c r="G1014">
        <v>2</v>
      </c>
      <c r="H1014">
        <v>2024</v>
      </c>
      <c r="I1014" t="s">
        <v>724</v>
      </c>
      <c r="J1014" t="str">
        <f t="shared" si="30"/>
        <v>Preliminary</v>
      </c>
      <c r="K1014">
        <f t="shared" si="31"/>
        <v>0</v>
      </c>
    </row>
    <row r="1015" spans="1:11">
      <c r="A1015" t="s">
        <v>132</v>
      </c>
      <c r="B1015" t="s">
        <v>133</v>
      </c>
      <c r="C1015" t="s">
        <v>39</v>
      </c>
      <c r="D1015" t="s">
        <v>31</v>
      </c>
      <c r="E1015">
        <v>0.125</v>
      </c>
      <c r="F1015">
        <v>26</v>
      </c>
      <c r="G1015">
        <v>3</v>
      </c>
      <c r="H1015">
        <v>2024</v>
      </c>
      <c r="I1015" t="s">
        <v>724</v>
      </c>
      <c r="J1015" t="str">
        <f t="shared" si="30"/>
        <v>Preliminary</v>
      </c>
      <c r="K1015">
        <f t="shared" si="31"/>
        <v>0</v>
      </c>
    </row>
    <row r="1016" spans="1:11">
      <c r="A1016" t="s">
        <v>72</v>
      </c>
      <c r="B1016" t="s">
        <v>73</v>
      </c>
      <c r="C1016" t="s">
        <v>74</v>
      </c>
      <c r="D1016" t="s">
        <v>13</v>
      </c>
      <c r="E1016">
        <v>0.125</v>
      </c>
      <c r="F1016">
        <v>50</v>
      </c>
      <c r="G1016">
        <v>1</v>
      </c>
      <c r="H1016">
        <v>2024</v>
      </c>
      <c r="I1016" t="s">
        <v>725</v>
      </c>
      <c r="J1016" t="str">
        <f t="shared" si="30"/>
        <v>Preliminary</v>
      </c>
      <c r="K1016">
        <f t="shared" si="31"/>
        <v>1</v>
      </c>
    </row>
    <row r="1017" spans="1:11">
      <c r="A1017" t="s">
        <v>376</v>
      </c>
      <c r="B1017" t="s">
        <v>377</v>
      </c>
      <c r="C1017" t="s">
        <v>20</v>
      </c>
      <c r="D1017" t="s">
        <v>17</v>
      </c>
      <c r="E1017">
        <v>0.125</v>
      </c>
      <c r="F1017">
        <v>38</v>
      </c>
      <c r="G1017">
        <v>2</v>
      </c>
      <c r="H1017">
        <v>2024</v>
      </c>
      <c r="I1017" t="s">
        <v>725</v>
      </c>
      <c r="J1017" t="str">
        <f t="shared" si="30"/>
        <v>Preliminary</v>
      </c>
      <c r="K1017">
        <f t="shared" si="31"/>
        <v>0</v>
      </c>
    </row>
    <row r="1018" spans="1:11">
      <c r="A1018" t="s">
        <v>726</v>
      </c>
      <c r="B1018" t="s">
        <v>727</v>
      </c>
      <c r="C1018" t="s">
        <v>27</v>
      </c>
      <c r="D1018" t="s">
        <v>17</v>
      </c>
      <c r="E1018">
        <v>0.125</v>
      </c>
      <c r="F1018">
        <v>32</v>
      </c>
      <c r="G1018">
        <v>3</v>
      </c>
      <c r="H1018">
        <v>2024</v>
      </c>
      <c r="I1018" t="s">
        <v>725</v>
      </c>
      <c r="J1018" t="str">
        <f t="shared" si="30"/>
        <v>Preliminary</v>
      </c>
      <c r="K1018">
        <f t="shared" si="31"/>
        <v>0</v>
      </c>
    </row>
    <row r="1019" spans="1:11">
      <c r="A1019" t="s">
        <v>29</v>
      </c>
      <c r="B1019" t="s">
        <v>30</v>
      </c>
      <c r="C1019" t="s">
        <v>24</v>
      </c>
      <c r="D1019" t="s">
        <v>31</v>
      </c>
      <c r="E1019">
        <v>0.125</v>
      </c>
      <c r="F1019">
        <v>47</v>
      </c>
      <c r="G1019">
        <v>1</v>
      </c>
      <c r="H1019">
        <v>2024</v>
      </c>
      <c r="I1019" t="s">
        <v>728</v>
      </c>
      <c r="J1019" t="str">
        <f t="shared" si="30"/>
        <v>Preliminary</v>
      </c>
      <c r="K1019">
        <f t="shared" si="31"/>
        <v>1</v>
      </c>
    </row>
    <row r="1020" spans="1:11">
      <c r="A1020" t="s">
        <v>120</v>
      </c>
      <c r="B1020" t="s">
        <v>121</v>
      </c>
      <c r="C1020" t="s">
        <v>20</v>
      </c>
      <c r="D1020" t="s">
        <v>17</v>
      </c>
      <c r="E1020">
        <v>0.125</v>
      </c>
      <c r="F1020">
        <v>44</v>
      </c>
      <c r="G1020">
        <v>2</v>
      </c>
      <c r="H1020">
        <v>2024</v>
      </c>
      <c r="I1020" t="s">
        <v>728</v>
      </c>
      <c r="J1020" t="str">
        <f t="shared" si="30"/>
        <v>Preliminary</v>
      </c>
      <c r="K1020">
        <f t="shared" si="31"/>
        <v>0</v>
      </c>
    </row>
    <row r="1021" spans="1:11">
      <c r="A1021" t="s">
        <v>130</v>
      </c>
      <c r="B1021" t="s">
        <v>131</v>
      </c>
      <c r="C1021" t="s">
        <v>12</v>
      </c>
      <c r="D1021" t="s">
        <v>17</v>
      </c>
      <c r="E1021">
        <v>0.125</v>
      </c>
      <c r="F1021">
        <v>22</v>
      </c>
      <c r="G1021">
        <v>3</v>
      </c>
      <c r="H1021">
        <v>2024</v>
      </c>
      <c r="I1021" t="s">
        <v>728</v>
      </c>
      <c r="J1021" t="str">
        <f t="shared" si="30"/>
        <v>Preliminary</v>
      </c>
      <c r="K1021">
        <f t="shared" si="31"/>
        <v>0</v>
      </c>
    </row>
    <row r="1022" spans="1:11">
      <c r="A1022" t="s">
        <v>37</v>
      </c>
      <c r="B1022" t="s">
        <v>38</v>
      </c>
      <c r="C1022" t="s">
        <v>39</v>
      </c>
      <c r="D1022" t="s">
        <v>13</v>
      </c>
      <c r="E1022">
        <v>0.125</v>
      </c>
      <c r="F1022">
        <v>33</v>
      </c>
      <c r="G1022">
        <v>1</v>
      </c>
      <c r="H1022">
        <v>2024</v>
      </c>
      <c r="I1022" t="s">
        <v>729</v>
      </c>
      <c r="J1022" t="str">
        <f t="shared" si="30"/>
        <v>Preliminary</v>
      </c>
      <c r="K1022">
        <f t="shared" si="31"/>
        <v>1</v>
      </c>
    </row>
    <row r="1023" spans="1:11">
      <c r="A1023" t="s">
        <v>170</v>
      </c>
      <c r="B1023" t="s">
        <v>171</v>
      </c>
      <c r="C1023" t="s">
        <v>50</v>
      </c>
      <c r="D1023" t="s">
        <v>13</v>
      </c>
      <c r="E1023">
        <v>0.125</v>
      </c>
      <c r="F1023">
        <v>30</v>
      </c>
      <c r="G1023">
        <v>2</v>
      </c>
      <c r="H1023">
        <v>2024</v>
      </c>
      <c r="I1023" t="s">
        <v>729</v>
      </c>
      <c r="J1023" t="str">
        <f t="shared" si="30"/>
        <v>Preliminary</v>
      </c>
      <c r="K1023">
        <f t="shared" si="31"/>
        <v>0</v>
      </c>
    </row>
    <row r="1024" spans="1:11">
      <c r="A1024" t="s">
        <v>217</v>
      </c>
      <c r="B1024" t="s">
        <v>218</v>
      </c>
      <c r="C1024" t="s">
        <v>177</v>
      </c>
      <c r="D1024" t="s">
        <v>17</v>
      </c>
      <c r="E1024">
        <v>0.125</v>
      </c>
      <c r="F1024">
        <v>19</v>
      </c>
      <c r="G1024">
        <v>3</v>
      </c>
      <c r="H1024">
        <v>2024</v>
      </c>
      <c r="I1024" t="s">
        <v>729</v>
      </c>
      <c r="J1024" t="str">
        <f t="shared" si="30"/>
        <v>Preliminary</v>
      </c>
      <c r="K1024">
        <f t="shared" si="31"/>
        <v>0</v>
      </c>
    </row>
    <row r="1025" spans="1:11">
      <c r="A1025" t="s">
        <v>41</v>
      </c>
      <c r="B1025" t="s">
        <v>42</v>
      </c>
      <c r="C1025" t="s">
        <v>27</v>
      </c>
      <c r="D1025" t="s">
        <v>17</v>
      </c>
      <c r="E1025">
        <v>0.125</v>
      </c>
      <c r="F1025">
        <v>43</v>
      </c>
      <c r="G1025">
        <v>1</v>
      </c>
      <c r="H1025">
        <v>2024</v>
      </c>
      <c r="I1025" t="s">
        <v>730</v>
      </c>
      <c r="J1025" t="str">
        <f t="shared" si="30"/>
        <v>Preliminary</v>
      </c>
      <c r="K1025">
        <f t="shared" si="31"/>
        <v>1</v>
      </c>
    </row>
    <row r="1026" spans="1:11">
      <c r="A1026" t="s">
        <v>309</v>
      </c>
      <c r="B1026" t="s">
        <v>310</v>
      </c>
      <c r="C1026" t="s">
        <v>27</v>
      </c>
      <c r="D1026" t="s">
        <v>17</v>
      </c>
      <c r="E1026">
        <v>0.125</v>
      </c>
      <c r="F1026">
        <v>30</v>
      </c>
      <c r="G1026">
        <v>2</v>
      </c>
      <c r="H1026">
        <v>2024</v>
      </c>
      <c r="I1026" t="s">
        <v>730</v>
      </c>
      <c r="J1026" t="str">
        <f t="shared" si="30"/>
        <v>Preliminary</v>
      </c>
      <c r="K1026">
        <f t="shared" si="31"/>
        <v>0</v>
      </c>
    </row>
    <row r="1027" spans="1:11">
      <c r="A1027" t="s">
        <v>318</v>
      </c>
      <c r="B1027" t="s">
        <v>319</v>
      </c>
      <c r="C1027" t="s">
        <v>39</v>
      </c>
      <c r="D1027" t="s">
        <v>17</v>
      </c>
      <c r="E1027">
        <v>0.125</v>
      </c>
      <c r="F1027">
        <v>25</v>
      </c>
      <c r="G1027">
        <v>3</v>
      </c>
      <c r="H1027">
        <v>2024</v>
      </c>
      <c r="I1027" t="s">
        <v>730</v>
      </c>
      <c r="J1027" t="str">
        <f t="shared" ref="J1027:J1081" si="32">IF(E1027=1,"Final",IF(E1027=0.5,"Semifinal",IF(E1027=0.25,"Quarterfinal",IF(E1027=0.125,"Preliminary","Unknown"))))</f>
        <v>Preliminary</v>
      </c>
      <c r="K1027">
        <f t="shared" ref="K1027:K1081" si="33">IF(G1027=1,1,0)</f>
        <v>0</v>
      </c>
    </row>
    <row r="1028" spans="1:11">
      <c r="A1028" t="s">
        <v>81</v>
      </c>
      <c r="B1028" t="s">
        <v>82</v>
      </c>
      <c r="C1028" t="s">
        <v>24</v>
      </c>
      <c r="D1028" t="s">
        <v>13</v>
      </c>
      <c r="E1028">
        <v>0.125</v>
      </c>
      <c r="F1028">
        <v>73</v>
      </c>
      <c r="G1028">
        <v>1</v>
      </c>
      <c r="H1028">
        <v>2024</v>
      </c>
      <c r="I1028" t="s">
        <v>731</v>
      </c>
      <c r="J1028" t="str">
        <f t="shared" si="32"/>
        <v>Preliminary</v>
      </c>
      <c r="K1028">
        <f t="shared" si="33"/>
        <v>1</v>
      </c>
    </row>
    <row r="1029" spans="1:11">
      <c r="A1029" t="s">
        <v>183</v>
      </c>
      <c r="B1029" t="s">
        <v>184</v>
      </c>
      <c r="C1029" t="s">
        <v>20</v>
      </c>
      <c r="D1029" t="s">
        <v>17</v>
      </c>
      <c r="E1029">
        <v>0.125</v>
      </c>
      <c r="F1029">
        <v>45</v>
      </c>
      <c r="G1029">
        <v>2</v>
      </c>
      <c r="H1029">
        <v>2024</v>
      </c>
      <c r="I1029" t="s">
        <v>731</v>
      </c>
      <c r="J1029" t="str">
        <f t="shared" si="32"/>
        <v>Preliminary</v>
      </c>
      <c r="K1029">
        <f t="shared" si="33"/>
        <v>0</v>
      </c>
    </row>
    <row r="1030" spans="1:11">
      <c r="A1030" t="s">
        <v>732</v>
      </c>
      <c r="B1030" t="s">
        <v>733</v>
      </c>
      <c r="C1030" t="s">
        <v>118</v>
      </c>
      <c r="D1030" t="s">
        <v>17</v>
      </c>
      <c r="E1030">
        <v>0.125</v>
      </c>
      <c r="F1030">
        <v>15</v>
      </c>
      <c r="G1030">
        <v>3</v>
      </c>
      <c r="H1030">
        <v>2024</v>
      </c>
      <c r="I1030" t="s">
        <v>731</v>
      </c>
      <c r="J1030" t="str">
        <f t="shared" si="32"/>
        <v>Preliminary</v>
      </c>
      <c r="K1030">
        <f t="shared" si="33"/>
        <v>0</v>
      </c>
    </row>
    <row r="1031" spans="1:11">
      <c r="A1031" t="s">
        <v>207</v>
      </c>
      <c r="B1031" t="s">
        <v>208</v>
      </c>
      <c r="C1031" t="s">
        <v>20</v>
      </c>
      <c r="D1031" t="s">
        <v>13</v>
      </c>
      <c r="E1031">
        <v>0.125</v>
      </c>
      <c r="F1031">
        <v>67</v>
      </c>
      <c r="G1031">
        <v>1</v>
      </c>
      <c r="H1031">
        <v>2024</v>
      </c>
      <c r="I1031" t="s">
        <v>734</v>
      </c>
      <c r="J1031" t="str">
        <f t="shared" si="32"/>
        <v>Preliminary</v>
      </c>
      <c r="K1031">
        <f t="shared" si="33"/>
        <v>1</v>
      </c>
    </row>
    <row r="1032" spans="1:11">
      <c r="A1032" t="s">
        <v>735</v>
      </c>
      <c r="B1032" t="s">
        <v>736</v>
      </c>
      <c r="C1032" t="s">
        <v>50</v>
      </c>
      <c r="D1032" t="s">
        <v>17</v>
      </c>
      <c r="E1032">
        <v>0.125</v>
      </c>
      <c r="F1032">
        <v>32</v>
      </c>
      <c r="G1032">
        <v>2</v>
      </c>
      <c r="H1032">
        <v>2024</v>
      </c>
      <c r="I1032" t="s">
        <v>734</v>
      </c>
      <c r="J1032" t="str">
        <f t="shared" si="32"/>
        <v>Preliminary</v>
      </c>
      <c r="K1032">
        <f t="shared" si="33"/>
        <v>0</v>
      </c>
    </row>
    <row r="1033" spans="1:11">
      <c r="A1033" t="s">
        <v>43</v>
      </c>
      <c r="B1033" t="s">
        <v>44</v>
      </c>
      <c r="C1033" t="s">
        <v>39</v>
      </c>
      <c r="D1033" t="s">
        <v>17</v>
      </c>
      <c r="E1033">
        <v>0.125</v>
      </c>
      <c r="F1033">
        <v>26</v>
      </c>
      <c r="G1033">
        <v>3</v>
      </c>
      <c r="H1033">
        <v>2024</v>
      </c>
      <c r="I1033" t="s">
        <v>734</v>
      </c>
      <c r="J1033" t="str">
        <f t="shared" si="32"/>
        <v>Preliminary</v>
      </c>
      <c r="K1033">
        <f t="shared" si="33"/>
        <v>0</v>
      </c>
    </row>
    <row r="1034" spans="1:11">
      <c r="A1034" t="s">
        <v>69</v>
      </c>
      <c r="B1034" t="s">
        <v>70</v>
      </c>
      <c r="C1034" t="s">
        <v>27</v>
      </c>
      <c r="D1034" t="s">
        <v>13</v>
      </c>
      <c r="E1034">
        <v>0.125</v>
      </c>
      <c r="F1034">
        <v>49</v>
      </c>
      <c r="G1034">
        <v>1</v>
      </c>
      <c r="H1034">
        <v>2024</v>
      </c>
      <c r="I1034" t="s">
        <v>737</v>
      </c>
      <c r="J1034" t="str">
        <f t="shared" si="32"/>
        <v>Preliminary</v>
      </c>
      <c r="K1034">
        <f t="shared" si="33"/>
        <v>1</v>
      </c>
    </row>
    <row r="1035" spans="1:11">
      <c r="A1035" t="s">
        <v>222</v>
      </c>
      <c r="B1035" t="s">
        <v>223</v>
      </c>
      <c r="C1035" t="s">
        <v>20</v>
      </c>
      <c r="D1035" t="s">
        <v>17</v>
      </c>
      <c r="E1035">
        <v>0.125</v>
      </c>
      <c r="F1035">
        <v>48</v>
      </c>
      <c r="G1035">
        <v>2</v>
      </c>
      <c r="H1035">
        <v>2024</v>
      </c>
      <c r="I1035" t="s">
        <v>737</v>
      </c>
      <c r="J1035" t="str">
        <f t="shared" si="32"/>
        <v>Preliminary</v>
      </c>
      <c r="K1035">
        <f t="shared" si="33"/>
        <v>0</v>
      </c>
    </row>
    <row r="1036" spans="1:11">
      <c r="A1036" t="s">
        <v>738</v>
      </c>
      <c r="B1036" t="s">
        <v>739</v>
      </c>
      <c r="C1036" t="s">
        <v>27</v>
      </c>
      <c r="D1036" t="s">
        <v>17</v>
      </c>
      <c r="E1036">
        <v>0.125</v>
      </c>
      <c r="F1036">
        <v>32</v>
      </c>
      <c r="G1036">
        <v>3</v>
      </c>
      <c r="H1036">
        <v>2024</v>
      </c>
      <c r="I1036" t="s">
        <v>737</v>
      </c>
      <c r="J1036" t="str">
        <f t="shared" si="32"/>
        <v>Preliminary</v>
      </c>
      <c r="K1036">
        <f t="shared" si="33"/>
        <v>0</v>
      </c>
    </row>
    <row r="1037" spans="1:11">
      <c r="A1037" t="s">
        <v>140</v>
      </c>
      <c r="B1037" t="s">
        <v>141</v>
      </c>
      <c r="C1037" t="s">
        <v>24</v>
      </c>
      <c r="D1037" t="s">
        <v>17</v>
      </c>
      <c r="E1037">
        <v>0.125</v>
      </c>
      <c r="F1037">
        <v>56</v>
      </c>
      <c r="G1037">
        <v>1</v>
      </c>
      <c r="H1037">
        <v>2024</v>
      </c>
      <c r="I1037" t="s">
        <v>740</v>
      </c>
      <c r="J1037" t="str">
        <f t="shared" si="32"/>
        <v>Preliminary</v>
      </c>
      <c r="K1037">
        <f t="shared" si="33"/>
        <v>1</v>
      </c>
    </row>
    <row r="1038" spans="1:11">
      <c r="A1038" t="s">
        <v>89</v>
      </c>
      <c r="B1038" t="s">
        <v>90</v>
      </c>
      <c r="C1038" t="s">
        <v>50</v>
      </c>
      <c r="D1038" t="s">
        <v>31</v>
      </c>
      <c r="E1038">
        <v>0.125</v>
      </c>
      <c r="F1038">
        <v>35</v>
      </c>
      <c r="G1038">
        <v>2</v>
      </c>
      <c r="H1038">
        <v>2024</v>
      </c>
      <c r="I1038" t="s">
        <v>740</v>
      </c>
      <c r="J1038" t="str">
        <f t="shared" si="32"/>
        <v>Preliminary</v>
      </c>
      <c r="K1038">
        <f t="shared" si="33"/>
        <v>0</v>
      </c>
    </row>
    <row r="1039" spans="1:11">
      <c r="A1039" t="s">
        <v>32</v>
      </c>
      <c r="B1039" t="s">
        <v>33</v>
      </c>
      <c r="C1039" t="s">
        <v>20</v>
      </c>
      <c r="D1039" t="s">
        <v>31</v>
      </c>
      <c r="E1039">
        <v>0.125</v>
      </c>
      <c r="F1039">
        <v>35</v>
      </c>
      <c r="G1039">
        <v>3</v>
      </c>
      <c r="H1039">
        <v>2024</v>
      </c>
      <c r="I1039" t="s">
        <v>740</v>
      </c>
      <c r="J1039" t="str">
        <f t="shared" si="32"/>
        <v>Preliminary</v>
      </c>
      <c r="K1039">
        <f t="shared" si="33"/>
        <v>0</v>
      </c>
    </row>
    <row r="1040" spans="1:11">
      <c r="A1040" t="s">
        <v>18</v>
      </c>
      <c r="B1040" t="s">
        <v>19</v>
      </c>
      <c r="C1040" t="s">
        <v>20</v>
      </c>
      <c r="D1040" t="s">
        <v>13</v>
      </c>
      <c r="E1040">
        <v>0.125</v>
      </c>
      <c r="F1040">
        <v>74</v>
      </c>
      <c r="G1040">
        <v>1</v>
      </c>
      <c r="H1040">
        <v>2024</v>
      </c>
      <c r="I1040" t="s">
        <v>741</v>
      </c>
      <c r="J1040" t="str">
        <f t="shared" si="32"/>
        <v>Preliminary</v>
      </c>
      <c r="K1040">
        <f t="shared" si="33"/>
        <v>1</v>
      </c>
    </row>
    <row r="1041" spans="1:11">
      <c r="A1041" t="s">
        <v>371</v>
      </c>
      <c r="B1041" t="s">
        <v>372</v>
      </c>
      <c r="C1041" t="s">
        <v>27</v>
      </c>
      <c r="D1041" t="s">
        <v>17</v>
      </c>
      <c r="E1041">
        <v>0.125</v>
      </c>
      <c r="F1041">
        <v>32</v>
      </c>
      <c r="G1041">
        <v>2</v>
      </c>
      <c r="H1041">
        <v>2024</v>
      </c>
      <c r="I1041" t="s">
        <v>741</v>
      </c>
      <c r="J1041" t="str">
        <f t="shared" si="32"/>
        <v>Preliminary</v>
      </c>
      <c r="K1041">
        <f t="shared" si="33"/>
        <v>0</v>
      </c>
    </row>
    <row r="1042" spans="1:11">
      <c r="A1042" t="s">
        <v>742</v>
      </c>
      <c r="B1042" t="s">
        <v>743</v>
      </c>
      <c r="C1042" t="s">
        <v>20</v>
      </c>
      <c r="D1042" t="s">
        <v>17</v>
      </c>
      <c r="E1042">
        <v>0.125</v>
      </c>
      <c r="F1042">
        <v>26</v>
      </c>
      <c r="G1042">
        <v>3</v>
      </c>
      <c r="H1042">
        <v>2024</v>
      </c>
      <c r="I1042" t="s">
        <v>741</v>
      </c>
      <c r="J1042" t="str">
        <f t="shared" si="32"/>
        <v>Preliminary</v>
      </c>
      <c r="K1042">
        <f t="shared" si="33"/>
        <v>0</v>
      </c>
    </row>
    <row r="1043" spans="1:11">
      <c r="A1043" t="s">
        <v>75</v>
      </c>
      <c r="B1043" t="s">
        <v>76</v>
      </c>
      <c r="C1043" t="s">
        <v>39</v>
      </c>
      <c r="D1043" t="s">
        <v>17</v>
      </c>
      <c r="E1043">
        <v>0.125</v>
      </c>
      <c r="F1043">
        <v>34</v>
      </c>
      <c r="G1043">
        <v>1</v>
      </c>
      <c r="H1043">
        <v>2024</v>
      </c>
      <c r="I1043" t="s">
        <v>744</v>
      </c>
      <c r="J1043" t="str">
        <f t="shared" si="32"/>
        <v>Preliminary</v>
      </c>
      <c r="K1043">
        <f t="shared" si="33"/>
        <v>1</v>
      </c>
    </row>
    <row r="1044" spans="1:11">
      <c r="A1044" t="s">
        <v>745</v>
      </c>
      <c r="B1044" t="s">
        <v>313</v>
      </c>
      <c r="C1044" t="s">
        <v>20</v>
      </c>
      <c r="D1044" t="s">
        <v>17</v>
      </c>
      <c r="E1044">
        <v>0.125</v>
      </c>
      <c r="F1044">
        <v>30</v>
      </c>
      <c r="G1044">
        <v>2</v>
      </c>
      <c r="H1044">
        <v>2024</v>
      </c>
      <c r="I1044" t="s">
        <v>744</v>
      </c>
      <c r="J1044" t="str">
        <f t="shared" si="32"/>
        <v>Preliminary</v>
      </c>
      <c r="K1044">
        <f t="shared" si="33"/>
        <v>0</v>
      </c>
    </row>
    <row r="1045" spans="1:11">
      <c r="A1045" t="s">
        <v>490</v>
      </c>
      <c r="B1045" t="s">
        <v>324</v>
      </c>
      <c r="C1045" t="s">
        <v>39</v>
      </c>
      <c r="D1045" t="s">
        <v>17</v>
      </c>
      <c r="E1045">
        <v>0.125</v>
      </c>
      <c r="F1045">
        <v>25</v>
      </c>
      <c r="G1045">
        <v>3</v>
      </c>
      <c r="H1045">
        <v>2024</v>
      </c>
      <c r="I1045" t="s">
        <v>744</v>
      </c>
      <c r="J1045" t="str">
        <f t="shared" si="32"/>
        <v>Preliminary</v>
      </c>
      <c r="K1045">
        <f t="shared" si="33"/>
        <v>0</v>
      </c>
    </row>
    <row r="1046" spans="1:11">
      <c r="A1046" t="s">
        <v>57</v>
      </c>
      <c r="B1046" t="s">
        <v>58</v>
      </c>
      <c r="C1046" t="s">
        <v>20</v>
      </c>
      <c r="D1046" t="s">
        <v>13</v>
      </c>
      <c r="E1046">
        <v>0.125</v>
      </c>
      <c r="F1046">
        <v>51</v>
      </c>
      <c r="G1046">
        <v>1</v>
      </c>
      <c r="H1046">
        <v>2024</v>
      </c>
      <c r="I1046" t="s">
        <v>746</v>
      </c>
      <c r="J1046" t="str">
        <f t="shared" si="32"/>
        <v>Preliminary</v>
      </c>
      <c r="K1046">
        <f t="shared" si="33"/>
        <v>1</v>
      </c>
    </row>
    <row r="1047" spans="1:11">
      <c r="A1047" t="s">
        <v>94</v>
      </c>
      <c r="B1047" t="s">
        <v>95</v>
      </c>
      <c r="C1047" t="s">
        <v>20</v>
      </c>
      <c r="D1047" t="s">
        <v>17</v>
      </c>
      <c r="E1047">
        <v>0.125</v>
      </c>
      <c r="F1047">
        <v>39</v>
      </c>
      <c r="G1047">
        <v>2</v>
      </c>
      <c r="H1047">
        <v>2024</v>
      </c>
      <c r="I1047" t="s">
        <v>746</v>
      </c>
      <c r="J1047" t="str">
        <f t="shared" si="32"/>
        <v>Preliminary</v>
      </c>
      <c r="K1047">
        <f t="shared" si="33"/>
        <v>0</v>
      </c>
    </row>
    <row r="1048" spans="1:11">
      <c r="A1048" t="s">
        <v>162</v>
      </c>
      <c r="B1048" t="s">
        <v>163</v>
      </c>
      <c r="C1048" t="s">
        <v>39</v>
      </c>
      <c r="D1048" t="s">
        <v>17</v>
      </c>
      <c r="E1048">
        <v>0.125</v>
      </c>
      <c r="F1048">
        <v>35</v>
      </c>
      <c r="G1048">
        <v>3</v>
      </c>
      <c r="H1048">
        <v>2024</v>
      </c>
      <c r="I1048" t="s">
        <v>746</v>
      </c>
      <c r="J1048" t="str">
        <f t="shared" si="32"/>
        <v>Preliminary</v>
      </c>
      <c r="K1048">
        <f t="shared" si="33"/>
        <v>0</v>
      </c>
    </row>
    <row r="1049" spans="1:11">
      <c r="A1049" t="s">
        <v>295</v>
      </c>
      <c r="B1049" t="s">
        <v>296</v>
      </c>
      <c r="C1049" t="s">
        <v>24</v>
      </c>
      <c r="D1049" t="s">
        <v>17</v>
      </c>
      <c r="E1049">
        <v>0.125</v>
      </c>
      <c r="F1049">
        <v>40</v>
      </c>
      <c r="G1049">
        <v>1</v>
      </c>
      <c r="H1049">
        <v>2024</v>
      </c>
      <c r="I1049" t="s">
        <v>747</v>
      </c>
      <c r="J1049" t="str">
        <f t="shared" si="32"/>
        <v>Preliminary</v>
      </c>
      <c r="K1049">
        <f t="shared" si="33"/>
        <v>1</v>
      </c>
    </row>
    <row r="1050" spans="1:11">
      <c r="A1050" t="s">
        <v>160</v>
      </c>
      <c r="B1050" t="s">
        <v>161</v>
      </c>
      <c r="C1050" t="s">
        <v>24</v>
      </c>
      <c r="D1050" t="s">
        <v>13</v>
      </c>
      <c r="E1050">
        <v>0.125</v>
      </c>
      <c r="F1050">
        <v>36</v>
      </c>
      <c r="G1050">
        <v>2</v>
      </c>
      <c r="H1050">
        <v>2024</v>
      </c>
      <c r="I1050" t="s">
        <v>747</v>
      </c>
      <c r="J1050" t="str">
        <f t="shared" si="32"/>
        <v>Preliminary</v>
      </c>
      <c r="K1050">
        <f t="shared" si="33"/>
        <v>0</v>
      </c>
    </row>
    <row r="1051" spans="1:11">
      <c r="A1051" t="s">
        <v>54</v>
      </c>
      <c r="B1051" t="s">
        <v>55</v>
      </c>
      <c r="C1051" t="s">
        <v>20</v>
      </c>
      <c r="D1051" t="s">
        <v>17</v>
      </c>
      <c r="E1051">
        <v>0.125</v>
      </c>
      <c r="F1051">
        <v>23</v>
      </c>
      <c r="G1051">
        <v>3</v>
      </c>
      <c r="H1051">
        <v>2024</v>
      </c>
      <c r="I1051" t="s">
        <v>747</v>
      </c>
      <c r="J1051" t="str">
        <f t="shared" si="32"/>
        <v>Preliminary</v>
      </c>
      <c r="K1051">
        <f t="shared" si="33"/>
        <v>0</v>
      </c>
    </row>
    <row r="1052" spans="1:11">
      <c r="A1052" t="s">
        <v>48</v>
      </c>
      <c r="B1052" t="s">
        <v>49</v>
      </c>
      <c r="C1052" t="s">
        <v>50</v>
      </c>
      <c r="D1052" t="s">
        <v>13</v>
      </c>
      <c r="E1052">
        <v>0.125</v>
      </c>
      <c r="F1052">
        <v>29</v>
      </c>
      <c r="G1052">
        <v>1</v>
      </c>
      <c r="H1052">
        <v>2024</v>
      </c>
      <c r="I1052" t="s">
        <v>748</v>
      </c>
      <c r="J1052" t="str">
        <f t="shared" si="32"/>
        <v>Preliminary</v>
      </c>
      <c r="K1052">
        <f t="shared" si="33"/>
        <v>1</v>
      </c>
    </row>
    <row r="1053" spans="1:11">
      <c r="A1053" t="s">
        <v>150</v>
      </c>
      <c r="B1053" t="s">
        <v>151</v>
      </c>
      <c r="C1053" t="s">
        <v>12</v>
      </c>
      <c r="D1053" t="s">
        <v>17</v>
      </c>
      <c r="E1053">
        <v>0.125</v>
      </c>
      <c r="F1053">
        <v>26</v>
      </c>
      <c r="G1053">
        <v>2</v>
      </c>
      <c r="H1053">
        <v>2024</v>
      </c>
      <c r="I1053" t="s">
        <v>748</v>
      </c>
      <c r="J1053" t="str">
        <f t="shared" si="32"/>
        <v>Preliminary</v>
      </c>
      <c r="K1053">
        <f t="shared" si="33"/>
        <v>0</v>
      </c>
    </row>
    <row r="1054" spans="1:11">
      <c r="A1054" t="s">
        <v>193</v>
      </c>
      <c r="B1054" t="s">
        <v>194</v>
      </c>
      <c r="C1054" t="s">
        <v>195</v>
      </c>
      <c r="D1054" t="s">
        <v>17</v>
      </c>
      <c r="E1054">
        <v>0.125</v>
      </c>
      <c r="F1054">
        <v>9</v>
      </c>
      <c r="G1054">
        <v>3</v>
      </c>
      <c r="H1054">
        <v>2024</v>
      </c>
      <c r="I1054" t="s">
        <v>748</v>
      </c>
      <c r="J1054" t="str">
        <f t="shared" si="32"/>
        <v>Preliminary</v>
      </c>
      <c r="K1054">
        <f t="shared" si="33"/>
        <v>0</v>
      </c>
    </row>
    <row r="1055" spans="1:11">
      <c r="A1055" t="s">
        <v>25</v>
      </c>
      <c r="B1055" t="s">
        <v>26</v>
      </c>
      <c r="C1055" t="s">
        <v>27</v>
      </c>
      <c r="D1055" t="s">
        <v>17</v>
      </c>
      <c r="E1055">
        <v>0.125</v>
      </c>
      <c r="F1055">
        <v>57</v>
      </c>
      <c r="G1055">
        <v>1</v>
      </c>
      <c r="H1055">
        <v>2024</v>
      </c>
      <c r="I1055" t="s">
        <v>749</v>
      </c>
      <c r="J1055" t="str">
        <f t="shared" si="32"/>
        <v>Preliminary</v>
      </c>
      <c r="K1055">
        <f t="shared" si="33"/>
        <v>1</v>
      </c>
    </row>
    <row r="1056" spans="1:11">
      <c r="A1056" t="s">
        <v>212</v>
      </c>
      <c r="B1056" t="s">
        <v>213</v>
      </c>
      <c r="C1056" t="s">
        <v>20</v>
      </c>
      <c r="D1056" t="s">
        <v>17</v>
      </c>
      <c r="E1056">
        <v>0.125</v>
      </c>
      <c r="F1056">
        <v>46</v>
      </c>
      <c r="G1056">
        <v>2</v>
      </c>
      <c r="H1056">
        <v>2024</v>
      </c>
      <c r="I1056" t="s">
        <v>749</v>
      </c>
      <c r="J1056" t="str">
        <f t="shared" si="32"/>
        <v>Preliminary</v>
      </c>
      <c r="K1056">
        <f t="shared" si="33"/>
        <v>0</v>
      </c>
    </row>
    <row r="1057" spans="1:11">
      <c r="A1057" t="s">
        <v>250</v>
      </c>
      <c r="B1057" t="s">
        <v>251</v>
      </c>
      <c r="C1057" t="s">
        <v>252</v>
      </c>
      <c r="D1057" t="s">
        <v>17</v>
      </c>
      <c r="E1057">
        <v>0.125</v>
      </c>
      <c r="F1057">
        <v>23</v>
      </c>
      <c r="G1057">
        <v>3</v>
      </c>
      <c r="H1057">
        <v>2024</v>
      </c>
      <c r="I1057" t="s">
        <v>749</v>
      </c>
      <c r="J1057" t="str">
        <f t="shared" si="32"/>
        <v>Preliminary</v>
      </c>
      <c r="K1057">
        <f t="shared" si="33"/>
        <v>0</v>
      </c>
    </row>
    <row r="1058" spans="1:11">
      <c r="A1058" t="s">
        <v>15</v>
      </c>
      <c r="B1058" t="s">
        <v>16</v>
      </c>
      <c r="C1058" t="s">
        <v>12</v>
      </c>
      <c r="D1058" t="s">
        <v>17</v>
      </c>
      <c r="E1058">
        <v>0.125</v>
      </c>
      <c r="F1058">
        <v>46</v>
      </c>
      <c r="G1058">
        <v>1</v>
      </c>
      <c r="H1058">
        <v>2024</v>
      </c>
      <c r="I1058" t="s">
        <v>750</v>
      </c>
      <c r="J1058" t="str">
        <f t="shared" si="32"/>
        <v>Preliminary</v>
      </c>
      <c r="K1058">
        <f t="shared" si="33"/>
        <v>1</v>
      </c>
    </row>
    <row r="1059" spans="1:11">
      <c r="A1059" t="s">
        <v>751</v>
      </c>
      <c r="B1059" t="s">
        <v>752</v>
      </c>
      <c r="C1059" t="s">
        <v>12</v>
      </c>
      <c r="D1059" t="s">
        <v>31</v>
      </c>
      <c r="E1059">
        <v>0.125</v>
      </c>
      <c r="F1059">
        <v>35</v>
      </c>
      <c r="G1059">
        <v>2</v>
      </c>
      <c r="H1059">
        <v>2024</v>
      </c>
      <c r="I1059" t="s">
        <v>750</v>
      </c>
      <c r="J1059" t="str">
        <f t="shared" si="32"/>
        <v>Preliminary</v>
      </c>
      <c r="K1059">
        <f t="shared" si="33"/>
        <v>0</v>
      </c>
    </row>
    <row r="1060" spans="1:11">
      <c r="A1060" t="s">
        <v>96</v>
      </c>
      <c r="B1060" t="s">
        <v>97</v>
      </c>
      <c r="C1060" t="s">
        <v>74</v>
      </c>
      <c r="D1060" t="s">
        <v>17</v>
      </c>
      <c r="E1060">
        <v>0.125</v>
      </c>
      <c r="F1060">
        <v>32</v>
      </c>
      <c r="G1060">
        <v>3</v>
      </c>
      <c r="H1060">
        <v>2024</v>
      </c>
      <c r="I1060" t="s">
        <v>750</v>
      </c>
      <c r="J1060" t="str">
        <f t="shared" si="32"/>
        <v>Preliminary</v>
      </c>
      <c r="K1060">
        <f t="shared" si="33"/>
        <v>0</v>
      </c>
    </row>
    <row r="1061" spans="1:11">
      <c r="A1061" t="s">
        <v>67</v>
      </c>
      <c r="B1061" t="s">
        <v>68</v>
      </c>
      <c r="C1061" t="s">
        <v>39</v>
      </c>
      <c r="D1061" t="s">
        <v>17</v>
      </c>
      <c r="E1061">
        <v>0.125</v>
      </c>
      <c r="F1061">
        <v>35</v>
      </c>
      <c r="G1061">
        <v>1</v>
      </c>
      <c r="H1061">
        <v>2024</v>
      </c>
      <c r="I1061" t="s">
        <v>753</v>
      </c>
      <c r="J1061" t="str">
        <f t="shared" si="32"/>
        <v>Preliminary</v>
      </c>
      <c r="K1061">
        <f t="shared" si="33"/>
        <v>1</v>
      </c>
    </row>
    <row r="1062" spans="1:11">
      <c r="A1062" t="s">
        <v>111</v>
      </c>
      <c r="B1062" t="s">
        <v>112</v>
      </c>
      <c r="C1062" t="s">
        <v>27</v>
      </c>
      <c r="D1062" t="s">
        <v>17</v>
      </c>
      <c r="E1062">
        <v>0.125</v>
      </c>
      <c r="F1062">
        <v>31</v>
      </c>
      <c r="G1062">
        <v>2</v>
      </c>
      <c r="H1062">
        <v>2024</v>
      </c>
      <c r="I1062" t="s">
        <v>753</v>
      </c>
      <c r="J1062" t="str">
        <f t="shared" si="32"/>
        <v>Preliminary</v>
      </c>
      <c r="K1062">
        <f t="shared" si="33"/>
        <v>0</v>
      </c>
    </row>
    <row r="1063" spans="1:11">
      <c r="A1063" t="s">
        <v>639</v>
      </c>
      <c r="B1063" t="s">
        <v>640</v>
      </c>
      <c r="C1063" t="s">
        <v>24</v>
      </c>
      <c r="D1063" t="s">
        <v>31</v>
      </c>
      <c r="E1063">
        <v>0.125</v>
      </c>
      <c r="F1063">
        <v>27</v>
      </c>
      <c r="G1063">
        <v>3</v>
      </c>
      <c r="H1063">
        <v>2024</v>
      </c>
      <c r="I1063" t="s">
        <v>753</v>
      </c>
      <c r="J1063" t="str">
        <f t="shared" si="32"/>
        <v>Preliminary</v>
      </c>
      <c r="K1063">
        <f t="shared" si="33"/>
        <v>0</v>
      </c>
    </row>
    <row r="1064" spans="1:11">
      <c r="A1064" t="s">
        <v>202</v>
      </c>
      <c r="B1064" t="s">
        <v>203</v>
      </c>
      <c r="C1064" t="s">
        <v>39</v>
      </c>
      <c r="D1064" t="s">
        <v>13</v>
      </c>
      <c r="E1064">
        <v>0.125</v>
      </c>
      <c r="F1064">
        <v>46</v>
      </c>
      <c r="G1064">
        <v>1</v>
      </c>
      <c r="H1064">
        <v>2024</v>
      </c>
      <c r="I1064" t="s">
        <v>754</v>
      </c>
      <c r="J1064" t="str">
        <f t="shared" si="32"/>
        <v>Preliminary</v>
      </c>
      <c r="K1064">
        <f t="shared" si="33"/>
        <v>1</v>
      </c>
    </row>
    <row r="1065" spans="1:11">
      <c r="A1065" t="s">
        <v>181</v>
      </c>
      <c r="B1065" t="s">
        <v>182</v>
      </c>
      <c r="C1065" t="s">
        <v>20</v>
      </c>
      <c r="D1065" t="s">
        <v>17</v>
      </c>
      <c r="E1065">
        <v>0.125</v>
      </c>
      <c r="F1065">
        <v>43</v>
      </c>
      <c r="G1065">
        <v>2</v>
      </c>
      <c r="H1065">
        <v>2024</v>
      </c>
      <c r="I1065" t="s">
        <v>754</v>
      </c>
      <c r="J1065" t="str">
        <f t="shared" si="32"/>
        <v>Preliminary</v>
      </c>
      <c r="K1065">
        <f t="shared" si="33"/>
        <v>0</v>
      </c>
    </row>
    <row r="1066" spans="1:11">
      <c r="A1066" t="s">
        <v>84</v>
      </c>
      <c r="B1066" t="s">
        <v>85</v>
      </c>
      <c r="C1066" t="s">
        <v>39</v>
      </c>
      <c r="D1066" t="s">
        <v>17</v>
      </c>
      <c r="E1066">
        <v>0.125</v>
      </c>
      <c r="F1066">
        <v>28</v>
      </c>
      <c r="G1066">
        <v>3</v>
      </c>
      <c r="H1066">
        <v>2024</v>
      </c>
      <c r="I1066" t="s">
        <v>754</v>
      </c>
      <c r="J1066" t="str">
        <f t="shared" si="32"/>
        <v>Preliminary</v>
      </c>
      <c r="K1066">
        <f t="shared" si="33"/>
        <v>0</v>
      </c>
    </row>
    <row r="1067" spans="1:11">
      <c r="A1067" t="s">
        <v>552</v>
      </c>
      <c r="B1067" t="s">
        <v>553</v>
      </c>
      <c r="C1067" t="s">
        <v>39</v>
      </c>
      <c r="D1067" t="s">
        <v>17</v>
      </c>
      <c r="E1067">
        <v>0.125</v>
      </c>
      <c r="F1067">
        <v>50</v>
      </c>
      <c r="G1067">
        <v>1</v>
      </c>
      <c r="H1067">
        <v>2024</v>
      </c>
      <c r="I1067" t="s">
        <v>755</v>
      </c>
      <c r="J1067" t="str">
        <f t="shared" si="32"/>
        <v>Preliminary</v>
      </c>
      <c r="K1067">
        <f t="shared" si="33"/>
        <v>1</v>
      </c>
    </row>
    <row r="1068" spans="1:11">
      <c r="A1068" t="s">
        <v>257</v>
      </c>
      <c r="B1068" t="s">
        <v>258</v>
      </c>
      <c r="C1068" t="s">
        <v>12</v>
      </c>
      <c r="D1068" t="s">
        <v>17</v>
      </c>
      <c r="E1068">
        <v>0.125</v>
      </c>
      <c r="F1068">
        <v>36</v>
      </c>
      <c r="G1068">
        <v>2</v>
      </c>
      <c r="H1068">
        <v>2024</v>
      </c>
      <c r="I1068" t="s">
        <v>755</v>
      </c>
      <c r="J1068" t="str">
        <f t="shared" si="32"/>
        <v>Preliminary</v>
      </c>
      <c r="K1068">
        <f t="shared" si="33"/>
        <v>0</v>
      </c>
    </row>
    <row r="1069" spans="1:11">
      <c r="A1069" t="s">
        <v>86</v>
      </c>
      <c r="B1069" t="s">
        <v>87</v>
      </c>
      <c r="C1069" t="s">
        <v>20</v>
      </c>
      <c r="D1069" t="s">
        <v>17</v>
      </c>
      <c r="E1069">
        <v>0.125</v>
      </c>
      <c r="F1069">
        <v>27</v>
      </c>
      <c r="G1069">
        <v>3</v>
      </c>
      <c r="H1069">
        <v>2024</v>
      </c>
      <c r="I1069" t="s">
        <v>755</v>
      </c>
      <c r="J1069" t="str">
        <f t="shared" si="32"/>
        <v>Preliminary</v>
      </c>
      <c r="K1069">
        <f t="shared" si="33"/>
        <v>0</v>
      </c>
    </row>
    <row r="1070" spans="1:11">
      <c r="A1070" t="s">
        <v>172</v>
      </c>
      <c r="B1070" t="s">
        <v>173</v>
      </c>
      <c r="C1070" t="s">
        <v>39</v>
      </c>
      <c r="D1070" t="s">
        <v>17</v>
      </c>
      <c r="E1070">
        <v>0.125</v>
      </c>
      <c r="F1070">
        <v>58</v>
      </c>
      <c r="G1070">
        <v>1</v>
      </c>
      <c r="H1070">
        <v>2024</v>
      </c>
      <c r="I1070" t="s">
        <v>756</v>
      </c>
      <c r="J1070" t="str">
        <f t="shared" si="32"/>
        <v>Preliminary</v>
      </c>
      <c r="K1070">
        <f t="shared" si="33"/>
        <v>1</v>
      </c>
    </row>
    <row r="1071" spans="1:11">
      <c r="A1071" t="s">
        <v>757</v>
      </c>
      <c r="B1071" t="s">
        <v>758</v>
      </c>
      <c r="C1071" t="s">
        <v>27</v>
      </c>
      <c r="D1071" t="s">
        <v>17</v>
      </c>
      <c r="E1071">
        <v>0.125</v>
      </c>
      <c r="F1071">
        <v>20</v>
      </c>
      <c r="G1071">
        <v>2</v>
      </c>
      <c r="H1071">
        <v>2024</v>
      </c>
      <c r="I1071" t="s">
        <v>756</v>
      </c>
      <c r="J1071" t="str">
        <f t="shared" si="32"/>
        <v>Preliminary</v>
      </c>
      <c r="K1071">
        <f t="shared" si="33"/>
        <v>0</v>
      </c>
    </row>
    <row r="1072" spans="1:11">
      <c r="A1072" t="s">
        <v>64</v>
      </c>
      <c r="B1072" t="s">
        <v>65</v>
      </c>
      <c r="C1072" t="s">
        <v>12</v>
      </c>
      <c r="D1072" t="s">
        <v>17</v>
      </c>
      <c r="E1072">
        <v>0.125</v>
      </c>
      <c r="F1072">
        <v>17</v>
      </c>
      <c r="G1072">
        <v>3</v>
      </c>
      <c r="H1072">
        <v>2024</v>
      </c>
      <c r="I1072" t="s">
        <v>756</v>
      </c>
      <c r="J1072" t="str">
        <f t="shared" si="32"/>
        <v>Preliminary</v>
      </c>
      <c r="K1072">
        <f t="shared" si="33"/>
        <v>0</v>
      </c>
    </row>
    <row r="1073" spans="1:11">
      <c r="A1073" t="s">
        <v>78</v>
      </c>
      <c r="B1073" t="s">
        <v>79</v>
      </c>
      <c r="C1073" t="s">
        <v>80</v>
      </c>
      <c r="D1073" t="s">
        <v>17</v>
      </c>
      <c r="E1073">
        <v>0.125</v>
      </c>
      <c r="F1073">
        <v>46</v>
      </c>
      <c r="G1073">
        <v>1</v>
      </c>
      <c r="H1073">
        <v>2024</v>
      </c>
      <c r="I1073" t="s">
        <v>759</v>
      </c>
      <c r="J1073" t="str">
        <f t="shared" si="32"/>
        <v>Preliminary</v>
      </c>
      <c r="K1073">
        <f t="shared" si="33"/>
        <v>1</v>
      </c>
    </row>
    <row r="1074" spans="1:11">
      <c r="A1074" t="s">
        <v>642</v>
      </c>
      <c r="B1074" t="s">
        <v>643</v>
      </c>
      <c r="C1074" t="s">
        <v>39</v>
      </c>
      <c r="D1074" t="s">
        <v>17</v>
      </c>
      <c r="E1074">
        <v>0.125</v>
      </c>
      <c r="F1074">
        <v>30</v>
      </c>
      <c r="G1074">
        <v>2</v>
      </c>
      <c r="H1074">
        <v>2024</v>
      </c>
      <c r="I1074" t="s">
        <v>759</v>
      </c>
      <c r="J1074" t="str">
        <f t="shared" si="32"/>
        <v>Preliminary</v>
      </c>
      <c r="K1074">
        <f t="shared" si="33"/>
        <v>0</v>
      </c>
    </row>
    <row r="1075" spans="1:11">
      <c r="A1075" t="s">
        <v>104</v>
      </c>
      <c r="B1075" t="s">
        <v>105</v>
      </c>
      <c r="C1075" t="s">
        <v>12</v>
      </c>
      <c r="D1075" t="s">
        <v>17</v>
      </c>
      <c r="E1075">
        <v>0.125</v>
      </c>
      <c r="F1075">
        <v>18</v>
      </c>
      <c r="G1075">
        <v>3</v>
      </c>
      <c r="H1075">
        <v>2024</v>
      </c>
      <c r="I1075" t="s">
        <v>759</v>
      </c>
      <c r="J1075" t="str">
        <f t="shared" si="32"/>
        <v>Preliminary</v>
      </c>
      <c r="K1075">
        <f t="shared" si="33"/>
        <v>0</v>
      </c>
    </row>
    <row r="1076" spans="1:11">
      <c r="A1076" t="s">
        <v>59</v>
      </c>
      <c r="B1076" t="s">
        <v>60</v>
      </c>
      <c r="C1076" t="s">
        <v>50</v>
      </c>
      <c r="D1076" t="s">
        <v>13</v>
      </c>
      <c r="E1076">
        <v>0.125</v>
      </c>
      <c r="F1076">
        <v>44</v>
      </c>
      <c r="G1076">
        <v>1</v>
      </c>
      <c r="H1076">
        <v>2024</v>
      </c>
      <c r="I1076" t="s">
        <v>760</v>
      </c>
      <c r="J1076" t="str">
        <f t="shared" si="32"/>
        <v>Preliminary</v>
      </c>
      <c r="K1076">
        <f t="shared" si="33"/>
        <v>1</v>
      </c>
    </row>
    <row r="1077" spans="1:11">
      <c r="A1077" t="s">
        <v>109</v>
      </c>
      <c r="B1077" t="s">
        <v>110</v>
      </c>
      <c r="C1077" t="s">
        <v>39</v>
      </c>
      <c r="D1077" t="s">
        <v>17</v>
      </c>
      <c r="E1077">
        <v>0.125</v>
      </c>
      <c r="F1077">
        <v>43</v>
      </c>
      <c r="G1077">
        <v>2</v>
      </c>
      <c r="H1077">
        <v>2024</v>
      </c>
      <c r="I1077" t="s">
        <v>760</v>
      </c>
      <c r="J1077" t="str">
        <f t="shared" si="32"/>
        <v>Preliminary</v>
      </c>
      <c r="K1077">
        <f t="shared" si="33"/>
        <v>0</v>
      </c>
    </row>
    <row r="1078" spans="1:11">
      <c r="A1078" t="s">
        <v>204</v>
      </c>
      <c r="B1078" t="s">
        <v>205</v>
      </c>
      <c r="C1078" t="s">
        <v>12</v>
      </c>
      <c r="D1078" t="s">
        <v>17</v>
      </c>
      <c r="E1078">
        <v>0.125</v>
      </c>
      <c r="F1078">
        <v>36</v>
      </c>
      <c r="G1078">
        <v>3</v>
      </c>
      <c r="H1078">
        <v>2024</v>
      </c>
      <c r="I1078" t="s">
        <v>760</v>
      </c>
      <c r="J1078" t="str">
        <f t="shared" si="32"/>
        <v>Preliminary</v>
      </c>
      <c r="K1078">
        <f t="shared" si="33"/>
        <v>0</v>
      </c>
    </row>
    <row r="1079" spans="1:11">
      <c r="A1079" t="s">
        <v>46</v>
      </c>
      <c r="B1079" t="s">
        <v>47</v>
      </c>
      <c r="C1079" t="s">
        <v>12</v>
      </c>
      <c r="D1079" t="s">
        <v>13</v>
      </c>
      <c r="E1079">
        <v>0.125</v>
      </c>
      <c r="F1079">
        <v>45</v>
      </c>
      <c r="G1079">
        <v>1</v>
      </c>
      <c r="H1079">
        <v>2024</v>
      </c>
      <c r="I1079" t="s">
        <v>761</v>
      </c>
      <c r="J1079" t="str">
        <f t="shared" si="32"/>
        <v>Preliminary</v>
      </c>
      <c r="K1079">
        <f t="shared" si="33"/>
        <v>1</v>
      </c>
    </row>
    <row r="1080" spans="1:11">
      <c r="A1080" t="s">
        <v>762</v>
      </c>
      <c r="B1080" t="s">
        <v>763</v>
      </c>
      <c r="C1080" t="s">
        <v>39</v>
      </c>
      <c r="D1080" t="s">
        <v>17</v>
      </c>
      <c r="E1080">
        <v>0.125</v>
      </c>
      <c r="F1080">
        <v>36</v>
      </c>
      <c r="G1080">
        <v>2</v>
      </c>
      <c r="H1080">
        <v>2024</v>
      </c>
      <c r="I1080" t="s">
        <v>761</v>
      </c>
      <c r="J1080" t="str">
        <f t="shared" si="32"/>
        <v>Preliminary</v>
      </c>
      <c r="K1080">
        <f t="shared" si="33"/>
        <v>0</v>
      </c>
    </row>
    <row r="1081" spans="1:11">
      <c r="A1081" t="s">
        <v>99</v>
      </c>
      <c r="B1081" t="s">
        <v>100</v>
      </c>
      <c r="C1081" t="s">
        <v>20</v>
      </c>
      <c r="D1081" t="s">
        <v>17</v>
      </c>
      <c r="E1081">
        <v>0.125</v>
      </c>
      <c r="F1081">
        <v>28</v>
      </c>
      <c r="G1081">
        <v>3</v>
      </c>
      <c r="H1081">
        <v>2024</v>
      </c>
      <c r="I1081" t="s">
        <v>761</v>
      </c>
      <c r="J1081" t="str">
        <f t="shared" si="32"/>
        <v>Preliminary</v>
      </c>
      <c r="K1081">
        <f t="shared" si="33"/>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D877-D7EB-4504-84C1-A0DF74E4F599}">
  <dimension ref="A3:N33"/>
  <sheetViews>
    <sheetView topLeftCell="C15" workbookViewId="0">
      <selection activeCell="N12" sqref="N12"/>
    </sheetView>
  </sheetViews>
  <sheetFormatPr defaultRowHeight="14.25"/>
  <cols>
    <col min="1" max="1" width="15.125" bestFit="1" customWidth="1"/>
    <col min="2" max="2" width="16.125" bestFit="1" customWidth="1"/>
    <col min="3" max="3" width="5.125" bestFit="1" customWidth="1"/>
    <col min="4" max="4" width="6.25" bestFit="1" customWidth="1"/>
    <col min="5" max="5" width="11.375" bestFit="1" customWidth="1"/>
    <col min="6" max="6" width="16.125" bestFit="1" customWidth="1"/>
    <col min="7" max="9" width="11.875" bestFit="1" customWidth="1"/>
    <col min="12" max="12" width="13.125" bestFit="1" customWidth="1"/>
    <col min="13" max="13" width="5.125" bestFit="1" customWidth="1"/>
    <col min="14" max="14" width="8.875" bestFit="1" customWidth="1"/>
  </cols>
  <sheetData>
    <row r="3" spans="1:14">
      <c r="A3" s="2" t="s">
        <v>765</v>
      </c>
      <c r="B3" t="s">
        <v>767</v>
      </c>
      <c r="E3" s="2" t="s">
        <v>767</v>
      </c>
      <c r="F3" s="2" t="s">
        <v>800</v>
      </c>
      <c r="L3" s="2" t="s">
        <v>765</v>
      </c>
      <c r="M3" t="s">
        <v>801</v>
      </c>
      <c r="N3" t="s">
        <v>769</v>
      </c>
    </row>
    <row r="4" spans="1:14">
      <c r="A4" s="3" t="s">
        <v>13</v>
      </c>
      <c r="B4" s="7">
        <v>42.455882352941174</v>
      </c>
      <c r="E4" s="2" t="s">
        <v>765</v>
      </c>
      <c r="F4" t="s">
        <v>13</v>
      </c>
      <c r="G4" t="s">
        <v>31</v>
      </c>
      <c r="H4" t="s">
        <v>17</v>
      </c>
      <c r="I4" t="s">
        <v>766</v>
      </c>
      <c r="L4" s="3" t="s">
        <v>13</v>
      </c>
      <c r="M4" s="7">
        <v>179</v>
      </c>
      <c r="N4" s="7">
        <v>340</v>
      </c>
    </row>
    <row r="5" spans="1:14">
      <c r="A5" s="3" t="s">
        <v>31</v>
      </c>
      <c r="B5" s="7">
        <v>32.567567567567565</v>
      </c>
      <c r="E5" s="3">
        <v>2016</v>
      </c>
      <c r="F5" s="7">
        <v>45.674999999999997</v>
      </c>
      <c r="G5" s="7">
        <v>37.272727272727273</v>
      </c>
      <c r="H5" s="7">
        <v>37.086956521739133</v>
      </c>
      <c r="I5" s="7">
        <v>39.966666666666669</v>
      </c>
      <c r="L5" s="3" t="s">
        <v>31</v>
      </c>
      <c r="M5" s="7">
        <v>28</v>
      </c>
      <c r="N5" s="7">
        <v>111</v>
      </c>
    </row>
    <row r="6" spans="1:14">
      <c r="A6" s="3" t="s">
        <v>17</v>
      </c>
      <c r="B6" s="7">
        <v>32.464228934817172</v>
      </c>
      <c r="E6" s="3">
        <v>2017</v>
      </c>
      <c r="F6" s="7">
        <v>42.944444444444443</v>
      </c>
      <c r="G6" s="7">
        <v>34.07692307692308</v>
      </c>
      <c r="H6" s="7">
        <v>33.183098591549296</v>
      </c>
      <c r="I6" s="7">
        <v>36.208333333333336</v>
      </c>
      <c r="L6" s="3" t="s">
        <v>17</v>
      </c>
      <c r="M6" s="7">
        <v>153</v>
      </c>
      <c r="N6" s="7">
        <v>629</v>
      </c>
    </row>
    <row r="7" spans="1:14">
      <c r="A7" s="3" t="s">
        <v>766</v>
      </c>
      <c r="B7" s="7">
        <v>35.620370370370374</v>
      </c>
      <c r="E7" s="3">
        <v>2018</v>
      </c>
      <c r="F7" s="7">
        <v>40.647058823529413</v>
      </c>
      <c r="G7" s="7">
        <v>32.058823529411768</v>
      </c>
      <c r="H7" s="7">
        <v>30.521739130434781</v>
      </c>
      <c r="I7" s="7">
        <v>33.608333333333334</v>
      </c>
      <c r="L7" s="3" t="s">
        <v>766</v>
      </c>
      <c r="M7" s="7">
        <v>360</v>
      </c>
      <c r="N7" s="7">
        <v>1080</v>
      </c>
    </row>
    <row r="8" spans="1:14">
      <c r="E8" s="3">
        <v>2019</v>
      </c>
      <c r="F8" s="7">
        <v>38.138888888888886</v>
      </c>
      <c r="G8" s="7">
        <v>28.09090909090909</v>
      </c>
      <c r="H8" s="7">
        <v>29.342465753424658</v>
      </c>
      <c r="I8" s="7">
        <v>31.866666666666667</v>
      </c>
    </row>
    <row r="9" spans="1:14">
      <c r="E9" s="3">
        <v>2020</v>
      </c>
      <c r="F9" s="7">
        <v>39.942857142857143</v>
      </c>
      <c r="G9" s="7">
        <v>32.153846153846153</v>
      </c>
      <c r="H9" s="7">
        <v>28.736111111111111</v>
      </c>
      <c r="I9" s="7">
        <v>32.375</v>
      </c>
    </row>
    <row r="10" spans="1:14">
      <c r="E10" s="3">
        <v>2021</v>
      </c>
      <c r="F10" s="7">
        <v>45.714285714285715</v>
      </c>
      <c r="G10" s="7">
        <v>37.5</v>
      </c>
      <c r="H10" s="7">
        <v>34.91549295774648</v>
      </c>
      <c r="I10" s="7">
        <v>38.366666666666667</v>
      </c>
    </row>
    <row r="11" spans="1:14">
      <c r="E11" s="3">
        <v>2022</v>
      </c>
      <c r="F11" s="7">
        <v>42.045454545454547</v>
      </c>
      <c r="G11" s="7">
        <v>20.5</v>
      </c>
      <c r="H11" s="7">
        <v>30.058823529411764</v>
      </c>
      <c r="I11" s="7">
        <v>33.81666666666667</v>
      </c>
    </row>
    <row r="12" spans="1:14">
      <c r="E12" s="3">
        <v>2023</v>
      </c>
      <c r="F12" s="7">
        <v>40.292682926829265</v>
      </c>
      <c r="G12" s="7">
        <v>31.75</v>
      </c>
      <c r="H12" s="7">
        <v>35.301587301587304</v>
      </c>
      <c r="I12" s="7">
        <v>36.533333333333331</v>
      </c>
    </row>
    <row r="13" spans="1:14">
      <c r="E13" s="3">
        <v>2024</v>
      </c>
      <c r="F13" s="7">
        <v>46.333333333333336</v>
      </c>
      <c r="G13" s="7">
        <v>36.625</v>
      </c>
      <c r="H13" s="7">
        <v>33.438356164383563</v>
      </c>
      <c r="I13" s="7">
        <v>37.841666666666669</v>
      </c>
    </row>
    <row r="14" spans="1:14">
      <c r="E14" s="3" t="s">
        <v>766</v>
      </c>
      <c r="F14" s="7">
        <v>42.455882352941174</v>
      </c>
      <c r="G14" s="7">
        <v>32.567567567567565</v>
      </c>
      <c r="H14" s="7">
        <v>32.464228934817172</v>
      </c>
      <c r="I14" s="7">
        <v>35.620370370370374</v>
      </c>
    </row>
    <row r="18" spans="1:8">
      <c r="A18" s="2" t="s">
        <v>768</v>
      </c>
      <c r="B18" s="2" t="s">
        <v>800</v>
      </c>
      <c r="G18" s="2" t="s">
        <v>765</v>
      </c>
      <c r="H18" t="s">
        <v>767</v>
      </c>
    </row>
    <row r="19" spans="1:8">
      <c r="A19" s="2" t="s">
        <v>765</v>
      </c>
      <c r="B19" t="s">
        <v>13</v>
      </c>
      <c r="C19" t="s">
        <v>31</v>
      </c>
      <c r="D19" t="s">
        <v>17</v>
      </c>
      <c r="E19" t="s">
        <v>766</v>
      </c>
      <c r="G19" s="3" t="s">
        <v>252</v>
      </c>
      <c r="H19" s="7">
        <v>12</v>
      </c>
    </row>
    <row r="20" spans="1:8">
      <c r="A20" s="3">
        <v>2016</v>
      </c>
      <c r="B20" s="7">
        <v>22</v>
      </c>
      <c r="C20" s="7">
        <v>2</v>
      </c>
      <c r="D20" s="7">
        <v>16</v>
      </c>
      <c r="E20" s="7">
        <v>40</v>
      </c>
      <c r="G20" s="3" t="s">
        <v>20</v>
      </c>
      <c r="H20" s="7">
        <v>37.339768339768341</v>
      </c>
    </row>
    <row r="21" spans="1:8">
      <c r="A21" s="3">
        <v>2017</v>
      </c>
      <c r="B21" s="7">
        <v>18</v>
      </c>
      <c r="C21" s="7">
        <v>4</v>
      </c>
      <c r="D21" s="7">
        <v>18</v>
      </c>
      <c r="E21" s="7">
        <v>40</v>
      </c>
      <c r="G21" s="3" t="s">
        <v>74</v>
      </c>
      <c r="H21" s="7">
        <v>29.8</v>
      </c>
    </row>
    <row r="22" spans="1:8">
      <c r="A22" s="3">
        <v>2018</v>
      </c>
      <c r="B22" s="7">
        <v>16</v>
      </c>
      <c r="C22" s="7">
        <v>7</v>
      </c>
      <c r="D22" s="7">
        <v>17</v>
      </c>
      <c r="E22" s="7">
        <v>40</v>
      </c>
      <c r="G22" s="3" t="s">
        <v>177</v>
      </c>
      <c r="H22" s="7">
        <v>29.111111111111111</v>
      </c>
    </row>
    <row r="23" spans="1:8">
      <c r="A23" s="3">
        <v>2019</v>
      </c>
      <c r="B23" s="7">
        <v>20</v>
      </c>
      <c r="C23" s="7">
        <v>2</v>
      </c>
      <c r="D23" s="7">
        <v>18</v>
      </c>
      <c r="E23" s="7">
        <v>40</v>
      </c>
      <c r="G23" s="3" t="s">
        <v>24</v>
      </c>
      <c r="H23" s="7">
        <v>39.937172774869111</v>
      </c>
    </row>
    <row r="24" spans="1:8">
      <c r="A24" s="3">
        <v>2020</v>
      </c>
      <c r="B24" s="7">
        <v>18</v>
      </c>
      <c r="C24" s="7">
        <v>3</v>
      </c>
      <c r="D24" s="7">
        <v>19</v>
      </c>
      <c r="E24" s="7">
        <v>40</v>
      </c>
      <c r="G24" s="3" t="s">
        <v>39</v>
      </c>
      <c r="H24" s="7">
        <v>34.426035502958577</v>
      </c>
    </row>
    <row r="25" spans="1:8">
      <c r="A25" s="3">
        <v>2021</v>
      </c>
      <c r="B25" s="7">
        <v>15</v>
      </c>
      <c r="C25" s="7">
        <v>4</v>
      </c>
      <c r="D25" s="7">
        <v>21</v>
      </c>
      <c r="E25" s="7">
        <v>40</v>
      </c>
      <c r="G25" s="3" t="s">
        <v>12</v>
      </c>
      <c r="H25" s="7">
        <v>38.925675675675677</v>
      </c>
    </row>
    <row r="26" spans="1:8">
      <c r="A26" s="3">
        <v>2022</v>
      </c>
      <c r="B26" s="7">
        <v>26</v>
      </c>
      <c r="C26" s="7">
        <v>0</v>
      </c>
      <c r="D26" s="7">
        <v>14</v>
      </c>
      <c r="E26" s="7">
        <v>40</v>
      </c>
      <c r="G26" s="3" t="s">
        <v>80</v>
      </c>
      <c r="H26" s="7">
        <v>34</v>
      </c>
    </row>
    <row r="27" spans="1:8">
      <c r="A27" s="3">
        <v>2023</v>
      </c>
      <c r="B27" s="7">
        <v>21</v>
      </c>
      <c r="C27" s="7">
        <v>4</v>
      </c>
      <c r="D27" s="7">
        <v>15</v>
      </c>
      <c r="E27" s="7">
        <v>40</v>
      </c>
      <c r="G27" s="3" t="s">
        <v>480</v>
      </c>
      <c r="H27" s="7">
        <v>26.4</v>
      </c>
    </row>
    <row r="28" spans="1:8">
      <c r="A28" s="3">
        <v>2024</v>
      </c>
      <c r="B28" s="7">
        <v>23</v>
      </c>
      <c r="C28" s="7">
        <v>2</v>
      </c>
      <c r="D28" s="7">
        <v>15</v>
      </c>
      <c r="E28" s="7">
        <v>40</v>
      </c>
      <c r="G28" s="3" t="s">
        <v>704</v>
      </c>
      <c r="H28" s="7">
        <v>42</v>
      </c>
    </row>
    <row r="29" spans="1:8">
      <c r="A29" s="3" t="s">
        <v>766</v>
      </c>
      <c r="B29" s="7">
        <v>179</v>
      </c>
      <c r="C29" s="7">
        <v>28</v>
      </c>
      <c r="D29" s="7">
        <v>153</v>
      </c>
      <c r="E29" s="7">
        <v>360</v>
      </c>
      <c r="G29" s="3" t="s">
        <v>195</v>
      </c>
      <c r="H29" s="7">
        <v>24.166666666666668</v>
      </c>
    </row>
    <row r="30" spans="1:8">
      <c r="G30" s="3" t="s">
        <v>118</v>
      </c>
      <c r="H30" s="7">
        <v>25.888888888888889</v>
      </c>
    </row>
    <row r="31" spans="1:8">
      <c r="G31" s="3" t="s">
        <v>27</v>
      </c>
      <c r="H31" s="7">
        <v>33.454545454545453</v>
      </c>
    </row>
    <row r="32" spans="1:8">
      <c r="G32" s="3" t="s">
        <v>50</v>
      </c>
      <c r="H32" s="7">
        <v>29.076923076923077</v>
      </c>
    </row>
    <row r="33" spans="7:8">
      <c r="G33" s="3" t="s">
        <v>766</v>
      </c>
      <c r="H33" s="7">
        <v>35.620370370370374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4A31-023F-4100-9F27-8CEEDD16BF7E}">
  <dimension ref="A1"/>
  <sheetViews>
    <sheetView tabSelected="1" topLeftCell="H4" workbookViewId="0">
      <selection activeCell="L33" sqref="L33"/>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15DF-76BC-402F-B1F3-667457C69009}">
  <dimension ref="A1:R630"/>
  <sheetViews>
    <sheetView topLeftCell="E1" workbookViewId="0">
      <selection activeCell="M2" sqref="M1:M2"/>
    </sheetView>
  </sheetViews>
  <sheetFormatPr defaultRowHeight="14.25"/>
  <cols>
    <col min="1" max="1" width="12.875" customWidth="1"/>
    <col min="2" max="3" width="15.875" customWidth="1"/>
    <col min="6" max="6" width="21.375" customWidth="1"/>
    <col min="7" max="7" width="14.75" customWidth="1"/>
    <col min="8" max="8" width="31.625" customWidth="1"/>
    <col min="9" max="9" width="18.125" customWidth="1"/>
    <col min="11" max="11" width="15.375" customWidth="1"/>
    <col min="12" max="12" width="22.125" customWidth="1"/>
    <col min="13" max="13" width="23.25" customWidth="1"/>
    <col min="18" max="18" width="16.125" customWidth="1"/>
    <col min="19" max="19" width="15.625" customWidth="1"/>
    <col min="20" max="20" width="16" customWidth="1"/>
  </cols>
  <sheetData>
    <row r="1" spans="1:11" ht="15">
      <c r="A1" s="1" t="s">
        <v>770</v>
      </c>
      <c r="B1" s="1" t="s">
        <v>771</v>
      </c>
      <c r="C1" s="1" t="s">
        <v>772</v>
      </c>
      <c r="D1" s="1" t="s">
        <v>3</v>
      </c>
      <c r="E1" s="1" t="s">
        <v>801</v>
      </c>
      <c r="F1" s="1" t="s">
        <v>802</v>
      </c>
      <c r="H1" s="1" t="s">
        <v>803</v>
      </c>
      <c r="I1" s="1" t="s">
        <v>804</v>
      </c>
      <c r="K1" s="1" t="s">
        <v>805</v>
      </c>
    </row>
    <row r="2" spans="1:11">
      <c r="A2">
        <v>40</v>
      </c>
      <c r="B2">
        <v>31</v>
      </c>
      <c r="C2">
        <v>28</v>
      </c>
      <c r="D2" t="s">
        <v>13</v>
      </c>
      <c r="E2">
        <f>COUNTIFS(NSMQ[Gender], "Boys", NSMQ[Win Flag], 1)</f>
        <v>179</v>
      </c>
      <c r="F2">
        <f>COUNTIFS(NSMQ[Gender], "Boys", NSMQ[Win Flag], 0)</f>
        <v>161</v>
      </c>
      <c r="G2">
        <f>E2+F2</f>
        <v>340</v>
      </c>
      <c r="H2">
        <f>(E2*$B$5)/$G$5</f>
        <v>5.8009259259259256</v>
      </c>
      <c r="I2">
        <f>(F2*$F$5)/$G$5</f>
        <v>107.33333333333333</v>
      </c>
      <c r="K2">
        <f>_xlfn.CHISQ.TEST(E2:F4, H2:I4)</f>
        <v>0</v>
      </c>
    </row>
    <row r="3" spans="1:11">
      <c r="A3">
        <v>23</v>
      </c>
      <c r="B3">
        <v>26</v>
      </c>
      <c r="C3">
        <v>39</v>
      </c>
      <c r="D3" t="s">
        <v>31</v>
      </c>
      <c r="E3">
        <f>COUNTIFS(NSMQ[Gender], "Girls", NSMQ[Win Flag], 1)</f>
        <v>28</v>
      </c>
      <c r="F3">
        <f>COUNTIFS(NSMQ[Gender], "Girls", NSMQ[Win Flag], 0)</f>
        <v>83</v>
      </c>
      <c r="G3">
        <f t="shared" ref="G3:G5" si="0">E3+F3</f>
        <v>111</v>
      </c>
      <c r="H3">
        <f t="shared" ref="H3:H4" si="1">(E3*$B$5)/$G$5</f>
        <v>0.90740740740740744</v>
      </c>
      <c r="I3">
        <f t="shared" ref="I3:I4" si="2">(F3*$F$5)/$G$5</f>
        <v>55.333333333333336</v>
      </c>
    </row>
    <row r="4" spans="1:11">
      <c r="A4">
        <v>44</v>
      </c>
      <c r="B4">
        <v>50</v>
      </c>
      <c r="C4">
        <v>41</v>
      </c>
      <c r="D4" t="s">
        <v>17</v>
      </c>
      <c r="E4">
        <f>COUNTIFS(NSMQ[Gender], "Mixed", NSMQ[Win Flag], 1)</f>
        <v>153</v>
      </c>
      <c r="F4">
        <f>COUNTIFS(NSMQ[Gender], "Mixed", NSMQ[Win Flag], 0)</f>
        <v>476</v>
      </c>
      <c r="G4">
        <f t="shared" si="0"/>
        <v>629</v>
      </c>
      <c r="H4">
        <f t="shared" si="1"/>
        <v>4.958333333333333</v>
      </c>
      <c r="I4">
        <f t="shared" si="2"/>
        <v>317.33333333333331</v>
      </c>
    </row>
    <row r="5" spans="1:11" ht="15">
      <c r="A5">
        <v>40</v>
      </c>
      <c r="B5">
        <v>35</v>
      </c>
      <c r="C5">
        <v>33</v>
      </c>
      <c r="D5" s="1" t="s">
        <v>790</v>
      </c>
      <c r="E5">
        <f>SUM(E2:E3:E4)</f>
        <v>360</v>
      </c>
      <c r="F5">
        <f>SUM(F2:F3:F4)</f>
        <v>720</v>
      </c>
      <c r="G5">
        <f t="shared" si="0"/>
        <v>1080</v>
      </c>
    </row>
    <row r="6" spans="1:11">
      <c r="A6">
        <v>38</v>
      </c>
      <c r="B6">
        <v>54</v>
      </c>
      <c r="C6">
        <v>30</v>
      </c>
    </row>
    <row r="7" spans="1:11">
      <c r="A7">
        <v>36</v>
      </c>
      <c r="B7">
        <v>25</v>
      </c>
      <c r="C7">
        <v>34</v>
      </c>
    </row>
    <row r="8" spans="1:11">
      <c r="A8">
        <v>36</v>
      </c>
      <c r="B8">
        <v>27</v>
      </c>
      <c r="C8">
        <v>24</v>
      </c>
    </row>
    <row r="9" spans="1:11">
      <c r="A9">
        <v>57</v>
      </c>
      <c r="B9">
        <v>31</v>
      </c>
      <c r="C9">
        <v>24</v>
      </c>
    </row>
    <row r="10" spans="1:11">
      <c r="A10">
        <v>63</v>
      </c>
      <c r="B10">
        <v>14</v>
      </c>
      <c r="C10">
        <v>21</v>
      </c>
    </row>
    <row r="11" spans="1:11">
      <c r="A11">
        <v>58</v>
      </c>
      <c r="B11">
        <v>24</v>
      </c>
      <c r="C11">
        <v>32</v>
      </c>
    </row>
    <row r="12" spans="1:11">
      <c r="A12">
        <v>31</v>
      </c>
      <c r="B12">
        <v>41</v>
      </c>
      <c r="C12">
        <v>20</v>
      </c>
    </row>
    <row r="13" spans="1:11">
      <c r="A13">
        <v>31</v>
      </c>
      <c r="B13">
        <v>53</v>
      </c>
      <c r="C13">
        <v>44</v>
      </c>
    </row>
    <row r="14" spans="1:11">
      <c r="A14">
        <v>45</v>
      </c>
      <c r="B14">
        <v>44</v>
      </c>
      <c r="C14">
        <v>35</v>
      </c>
    </row>
    <row r="15" spans="1:11">
      <c r="A15">
        <v>43</v>
      </c>
      <c r="B15">
        <v>34</v>
      </c>
      <c r="C15">
        <v>29</v>
      </c>
    </row>
    <row r="16" spans="1:11">
      <c r="A16">
        <v>18</v>
      </c>
      <c r="B16">
        <v>13</v>
      </c>
      <c r="C16">
        <v>28</v>
      </c>
    </row>
    <row r="17" spans="1:12">
      <c r="A17">
        <v>21</v>
      </c>
      <c r="B17">
        <v>6</v>
      </c>
      <c r="C17">
        <v>24</v>
      </c>
    </row>
    <row r="18" spans="1:12">
      <c r="A18">
        <v>48</v>
      </c>
      <c r="B18">
        <v>18</v>
      </c>
      <c r="C18">
        <v>47</v>
      </c>
    </row>
    <row r="19" spans="1:12">
      <c r="A19">
        <v>42</v>
      </c>
      <c r="B19">
        <v>29</v>
      </c>
      <c r="C19">
        <v>29</v>
      </c>
      <c r="F19" t="s">
        <v>773</v>
      </c>
    </row>
    <row r="20" spans="1:12">
      <c r="A20">
        <v>32</v>
      </c>
      <c r="B20">
        <v>17</v>
      </c>
      <c r="C20">
        <v>49</v>
      </c>
    </row>
    <row r="21" spans="1:12" ht="15" thickBot="1">
      <c r="A21">
        <v>32</v>
      </c>
      <c r="B21">
        <v>24</v>
      </c>
      <c r="C21">
        <v>29</v>
      </c>
      <c r="F21" t="s">
        <v>774</v>
      </c>
    </row>
    <row r="22" spans="1:12">
      <c r="A22">
        <v>56</v>
      </c>
      <c r="B22">
        <v>24</v>
      </c>
      <c r="C22">
        <v>50</v>
      </c>
      <c r="F22" s="5" t="s">
        <v>775</v>
      </c>
      <c r="G22" s="5" t="s">
        <v>776</v>
      </c>
      <c r="H22" s="5" t="s">
        <v>777</v>
      </c>
      <c r="I22" s="5" t="s">
        <v>778</v>
      </c>
      <c r="J22" s="5" t="s">
        <v>779</v>
      </c>
    </row>
    <row r="23" spans="1:12">
      <c r="A23">
        <v>40</v>
      </c>
      <c r="B23">
        <v>21</v>
      </c>
      <c r="C23">
        <v>43</v>
      </c>
      <c r="F23" t="s">
        <v>770</v>
      </c>
      <c r="G23">
        <v>340</v>
      </c>
      <c r="H23">
        <v>14435</v>
      </c>
      <c r="I23" s="6">
        <v>42.455882352941174</v>
      </c>
      <c r="J23">
        <v>175.11014228700324</v>
      </c>
    </row>
    <row r="24" spans="1:12">
      <c r="A24">
        <v>46</v>
      </c>
      <c r="B24">
        <v>2</v>
      </c>
      <c r="C24">
        <v>33</v>
      </c>
      <c r="F24" t="s">
        <v>771</v>
      </c>
      <c r="G24">
        <v>111</v>
      </c>
      <c r="H24">
        <v>3615</v>
      </c>
      <c r="I24">
        <v>32.567567567567565</v>
      </c>
      <c r="J24">
        <v>133.04766584766583</v>
      </c>
    </row>
    <row r="25" spans="1:12" ht="15" thickBot="1">
      <c r="A25">
        <v>34</v>
      </c>
      <c r="B25">
        <v>29</v>
      </c>
      <c r="C25">
        <v>36</v>
      </c>
      <c r="F25" s="4" t="s">
        <v>772</v>
      </c>
      <c r="G25" s="4">
        <v>629</v>
      </c>
      <c r="H25" s="4">
        <v>20420</v>
      </c>
      <c r="I25" s="4">
        <v>32.464228934817172</v>
      </c>
      <c r="J25" s="4">
        <v>132.54847953986203</v>
      </c>
    </row>
    <row r="26" spans="1:12">
      <c r="A26">
        <v>49</v>
      </c>
      <c r="B26">
        <v>35</v>
      </c>
      <c r="C26">
        <v>34</v>
      </c>
    </row>
    <row r="27" spans="1:12">
      <c r="A27">
        <v>37</v>
      </c>
      <c r="B27">
        <v>55</v>
      </c>
      <c r="C27">
        <v>40</v>
      </c>
    </row>
    <row r="28" spans="1:12" ht="15" thickBot="1">
      <c r="A28">
        <v>16</v>
      </c>
      <c r="B28">
        <v>51</v>
      </c>
      <c r="C28">
        <v>52</v>
      </c>
      <c r="F28" t="s">
        <v>780</v>
      </c>
    </row>
    <row r="29" spans="1:12">
      <c r="A29">
        <v>23</v>
      </c>
      <c r="B29">
        <v>45</v>
      </c>
      <c r="C29">
        <v>37</v>
      </c>
      <c r="F29" s="5" t="s">
        <v>781</v>
      </c>
      <c r="G29" s="5" t="s">
        <v>782</v>
      </c>
      <c r="H29" s="5" t="s">
        <v>783</v>
      </c>
      <c r="I29" s="5" t="s">
        <v>784</v>
      </c>
      <c r="J29" s="5" t="s">
        <v>785</v>
      </c>
      <c r="K29" s="5" t="s">
        <v>786</v>
      </c>
      <c r="L29" s="5" t="s">
        <v>787</v>
      </c>
    </row>
    <row r="30" spans="1:12">
      <c r="A30">
        <v>42</v>
      </c>
      <c r="B30">
        <v>39</v>
      </c>
      <c r="C30">
        <v>42</v>
      </c>
      <c r="F30" t="s">
        <v>788</v>
      </c>
      <c r="G30">
        <v>23186.325222281361</v>
      </c>
      <c r="H30">
        <v>2</v>
      </c>
      <c r="I30">
        <v>11593.16261114068</v>
      </c>
      <c r="J30">
        <v>79.407229916547337</v>
      </c>
      <c r="K30">
        <v>6.7813946458746886E-33</v>
      </c>
      <c r="L30">
        <v>3.0040805343637578</v>
      </c>
    </row>
    <row r="31" spans="1:12">
      <c r="A31">
        <v>38</v>
      </c>
      <c r="B31">
        <v>30</v>
      </c>
      <c r="C31">
        <v>20</v>
      </c>
      <c r="F31" t="s">
        <v>789</v>
      </c>
      <c r="G31">
        <v>157238.0266295707</v>
      </c>
      <c r="H31">
        <v>1077</v>
      </c>
      <c r="I31">
        <v>145.99631070526527</v>
      </c>
    </row>
    <row r="32" spans="1:12">
      <c r="A32">
        <v>36</v>
      </c>
      <c r="B32">
        <v>29</v>
      </c>
      <c r="C32">
        <v>51</v>
      </c>
    </row>
    <row r="33" spans="1:18" ht="15" thickBot="1">
      <c r="A33">
        <v>44</v>
      </c>
      <c r="B33">
        <v>42</v>
      </c>
      <c r="C33">
        <v>47</v>
      </c>
      <c r="F33" s="4" t="s">
        <v>790</v>
      </c>
      <c r="G33" s="4">
        <v>180424.351851852</v>
      </c>
      <c r="H33" s="4">
        <v>1079</v>
      </c>
      <c r="I33" s="4"/>
      <c r="J33" s="4"/>
      <c r="K33" s="4"/>
      <c r="L33" s="4"/>
    </row>
    <row r="34" spans="1:18">
      <c r="A34">
        <v>31</v>
      </c>
      <c r="B34">
        <v>29</v>
      </c>
      <c r="C34">
        <v>31</v>
      </c>
    </row>
    <row r="35" spans="1:18">
      <c r="A35">
        <v>52</v>
      </c>
      <c r="B35">
        <v>46</v>
      </c>
      <c r="C35">
        <v>43</v>
      </c>
    </row>
    <row r="36" spans="1:18">
      <c r="A36">
        <v>56</v>
      </c>
      <c r="B36">
        <v>37</v>
      </c>
      <c r="C36">
        <v>39</v>
      </c>
    </row>
    <row r="37" spans="1:18">
      <c r="A37">
        <v>43</v>
      </c>
      <c r="B37">
        <v>34</v>
      </c>
      <c r="C37">
        <v>34</v>
      </c>
    </row>
    <row r="38" spans="1:18">
      <c r="A38">
        <v>33</v>
      </c>
      <c r="B38">
        <v>31</v>
      </c>
      <c r="C38">
        <v>66</v>
      </c>
    </row>
    <row r="39" spans="1:18">
      <c r="A39">
        <v>37</v>
      </c>
      <c r="B39">
        <v>22</v>
      </c>
      <c r="C39">
        <v>30</v>
      </c>
      <c r="F39" t="s">
        <v>791</v>
      </c>
      <c r="J39" t="s">
        <v>791</v>
      </c>
      <c r="P39" t="s">
        <v>791</v>
      </c>
    </row>
    <row r="40" spans="1:18" ht="15" thickBot="1">
      <c r="A40">
        <v>55</v>
      </c>
      <c r="B40">
        <v>40</v>
      </c>
      <c r="C40">
        <v>31</v>
      </c>
    </row>
    <row r="41" spans="1:18">
      <c r="A41">
        <v>46</v>
      </c>
      <c r="B41">
        <v>37</v>
      </c>
      <c r="C41">
        <v>31</v>
      </c>
      <c r="F41" s="5"/>
      <c r="G41" s="5" t="s">
        <v>770</v>
      </c>
      <c r="H41" s="5" t="s">
        <v>771</v>
      </c>
      <c r="J41" s="5"/>
      <c r="K41" s="5" t="s">
        <v>770</v>
      </c>
      <c r="L41" s="5" t="s">
        <v>772</v>
      </c>
      <c r="P41" s="5"/>
      <c r="Q41" s="5" t="s">
        <v>771</v>
      </c>
      <c r="R41" s="5" t="s">
        <v>772</v>
      </c>
    </row>
    <row r="42" spans="1:18">
      <c r="A42">
        <v>60</v>
      </c>
      <c r="B42">
        <v>39</v>
      </c>
      <c r="C42">
        <v>28</v>
      </c>
      <c r="F42" t="s">
        <v>792</v>
      </c>
      <c r="G42">
        <v>42.455882352941174</v>
      </c>
      <c r="H42">
        <v>32.567567567567565</v>
      </c>
      <c r="J42" t="s">
        <v>792</v>
      </c>
      <c r="K42">
        <v>42.455882352941174</v>
      </c>
      <c r="L42">
        <v>32.464228934817172</v>
      </c>
      <c r="P42" t="s">
        <v>792</v>
      </c>
      <c r="Q42">
        <v>32.567567567567565</v>
      </c>
      <c r="R42">
        <v>32.464228934817172</v>
      </c>
    </row>
    <row r="43" spans="1:18">
      <c r="A43">
        <v>50</v>
      </c>
      <c r="B43">
        <v>30</v>
      </c>
      <c r="C43">
        <v>40</v>
      </c>
      <c r="F43" t="s">
        <v>779</v>
      </c>
      <c r="G43">
        <v>175.11014228700324</v>
      </c>
      <c r="H43">
        <v>133.04766584766583</v>
      </c>
      <c r="J43" t="s">
        <v>779</v>
      </c>
      <c r="K43">
        <v>175.11014228700324</v>
      </c>
      <c r="L43">
        <v>132.54847953986203</v>
      </c>
      <c r="P43" t="s">
        <v>779</v>
      </c>
      <c r="Q43">
        <v>133.04766584766583</v>
      </c>
      <c r="R43">
        <v>132.54847953986203</v>
      </c>
    </row>
    <row r="44" spans="1:18">
      <c r="A44">
        <v>41</v>
      </c>
      <c r="B44">
        <v>46</v>
      </c>
      <c r="C44">
        <v>39</v>
      </c>
      <c r="F44" t="s">
        <v>793</v>
      </c>
      <c r="G44">
        <v>340</v>
      </c>
      <c r="H44">
        <v>111</v>
      </c>
      <c r="J44" t="s">
        <v>793</v>
      </c>
      <c r="K44">
        <v>340</v>
      </c>
      <c r="L44">
        <v>629</v>
      </c>
      <c r="P44" t="s">
        <v>793</v>
      </c>
      <c r="Q44">
        <v>111</v>
      </c>
      <c r="R44">
        <v>629</v>
      </c>
    </row>
    <row r="45" spans="1:18">
      <c r="A45">
        <v>32</v>
      </c>
      <c r="B45">
        <v>24</v>
      </c>
      <c r="C45">
        <v>19</v>
      </c>
      <c r="F45" t="s">
        <v>794</v>
      </c>
      <c r="G45">
        <v>0</v>
      </c>
      <c r="J45" t="s">
        <v>794</v>
      </c>
      <c r="K45">
        <v>0</v>
      </c>
      <c r="P45" t="s">
        <v>794</v>
      </c>
      <c r="Q45">
        <v>0</v>
      </c>
    </row>
    <row r="46" spans="1:18">
      <c r="A46">
        <v>49</v>
      </c>
      <c r="B46">
        <v>10</v>
      </c>
      <c r="C46">
        <v>36</v>
      </c>
      <c r="F46" t="s">
        <v>783</v>
      </c>
      <c r="G46">
        <v>212</v>
      </c>
      <c r="J46" t="s">
        <v>783</v>
      </c>
      <c r="K46">
        <v>617</v>
      </c>
      <c r="P46" t="s">
        <v>783</v>
      </c>
      <c r="Q46">
        <v>151</v>
      </c>
    </row>
    <row r="47" spans="1:18">
      <c r="A47">
        <v>41</v>
      </c>
      <c r="B47">
        <v>35</v>
      </c>
      <c r="C47">
        <v>20</v>
      </c>
      <c r="F47" t="s">
        <v>795</v>
      </c>
      <c r="G47">
        <v>7.5537094623662933</v>
      </c>
      <c r="J47" t="s">
        <v>795</v>
      </c>
      <c r="K47">
        <v>11.728466349674562</v>
      </c>
      <c r="P47" t="s">
        <v>795</v>
      </c>
      <c r="Q47">
        <v>8.7046692976617865E-2</v>
      </c>
    </row>
    <row r="48" spans="1:18">
      <c r="A48">
        <v>51</v>
      </c>
      <c r="B48">
        <v>30</v>
      </c>
      <c r="C48">
        <v>27</v>
      </c>
      <c r="F48" t="s">
        <v>796</v>
      </c>
      <c r="G48">
        <v>6.2315619818668476E-13</v>
      </c>
      <c r="J48" t="s">
        <v>796</v>
      </c>
      <c r="K48">
        <v>4.0466234347123595E-29</v>
      </c>
      <c r="P48" t="s">
        <v>796</v>
      </c>
      <c r="Q48">
        <v>0.46537486120788557</v>
      </c>
    </row>
    <row r="49" spans="1:18">
      <c r="A49">
        <v>35</v>
      </c>
      <c r="B49">
        <v>8</v>
      </c>
      <c r="C49">
        <v>47</v>
      </c>
      <c r="F49" t="s">
        <v>797</v>
      </c>
      <c r="G49">
        <v>1.6520729200438051</v>
      </c>
      <c r="J49" t="s">
        <v>797</v>
      </c>
      <c r="K49">
        <v>1.647327003805994</v>
      </c>
      <c r="P49" t="s">
        <v>797</v>
      </c>
      <c r="Q49">
        <v>1.6550073865802402</v>
      </c>
    </row>
    <row r="50" spans="1:18">
      <c r="A50">
        <v>8</v>
      </c>
      <c r="B50">
        <v>46</v>
      </c>
      <c r="C50">
        <v>33</v>
      </c>
      <c r="F50" t="s">
        <v>798</v>
      </c>
      <c r="G50">
        <v>1.2463123963733695E-12</v>
      </c>
      <c r="J50" t="s">
        <v>798</v>
      </c>
      <c r="K50">
        <v>8.093246869424719E-29</v>
      </c>
      <c r="P50" t="s">
        <v>798</v>
      </c>
      <c r="Q50">
        <v>0.93074972241577114</v>
      </c>
    </row>
    <row r="51" spans="1:18" ht="15" thickBot="1">
      <c r="A51">
        <v>45</v>
      </c>
      <c r="B51">
        <v>27</v>
      </c>
      <c r="C51">
        <v>32</v>
      </c>
      <c r="F51" s="4" t="s">
        <v>799</v>
      </c>
      <c r="G51" s="4">
        <v>1.9712170125477553</v>
      </c>
      <c r="H51" s="4"/>
      <c r="J51" s="4" t="s">
        <v>799</v>
      </c>
      <c r="K51" s="4">
        <v>1.963816257640332</v>
      </c>
      <c r="L51" s="4"/>
      <c r="P51" s="4" t="s">
        <v>799</v>
      </c>
      <c r="Q51" s="4">
        <v>1.9757989238179368</v>
      </c>
      <c r="R51" s="4"/>
    </row>
    <row r="52" spans="1:18">
      <c r="A52">
        <v>33</v>
      </c>
      <c r="B52">
        <v>46</v>
      </c>
      <c r="C52">
        <v>45</v>
      </c>
    </row>
    <row r="53" spans="1:18">
      <c r="A53">
        <v>22</v>
      </c>
      <c r="B53">
        <v>26</v>
      </c>
      <c r="C53">
        <v>42</v>
      </c>
    </row>
    <row r="54" spans="1:18">
      <c r="A54">
        <v>67</v>
      </c>
      <c r="B54">
        <v>57</v>
      </c>
      <c r="C54">
        <v>19</v>
      </c>
    </row>
    <row r="55" spans="1:18">
      <c r="A55">
        <v>40</v>
      </c>
      <c r="B55">
        <v>55</v>
      </c>
      <c r="C55">
        <v>34</v>
      </c>
    </row>
    <row r="56" spans="1:18">
      <c r="A56">
        <v>31</v>
      </c>
      <c r="B56">
        <v>23</v>
      </c>
      <c r="C56">
        <v>28</v>
      </c>
    </row>
    <row r="57" spans="1:18">
      <c r="A57">
        <v>59</v>
      </c>
      <c r="B57">
        <v>22</v>
      </c>
      <c r="C57">
        <v>70</v>
      </c>
    </row>
    <row r="58" spans="1:18">
      <c r="A58">
        <v>44</v>
      </c>
      <c r="B58">
        <v>15</v>
      </c>
      <c r="C58">
        <v>26</v>
      </c>
    </row>
    <row r="59" spans="1:18">
      <c r="A59">
        <v>59</v>
      </c>
      <c r="B59">
        <v>24</v>
      </c>
      <c r="C59">
        <v>41</v>
      </c>
    </row>
    <row r="60" spans="1:18">
      <c r="A60">
        <v>31</v>
      </c>
      <c r="B60">
        <v>30</v>
      </c>
      <c r="C60">
        <v>17</v>
      </c>
    </row>
    <row r="61" spans="1:18">
      <c r="A61">
        <v>25</v>
      </c>
      <c r="B61">
        <v>22</v>
      </c>
      <c r="C61">
        <v>45</v>
      </c>
    </row>
    <row r="62" spans="1:18">
      <c r="A62">
        <v>67</v>
      </c>
      <c r="B62">
        <v>16</v>
      </c>
      <c r="C62">
        <v>36</v>
      </c>
    </row>
    <row r="63" spans="1:18">
      <c r="A63">
        <v>33</v>
      </c>
      <c r="B63">
        <v>19</v>
      </c>
      <c r="C63">
        <v>29</v>
      </c>
    </row>
    <row r="64" spans="1:18">
      <c r="A64">
        <v>26</v>
      </c>
      <c r="B64">
        <v>29</v>
      </c>
      <c r="C64">
        <v>41</v>
      </c>
    </row>
    <row r="65" spans="1:3">
      <c r="A65">
        <v>51</v>
      </c>
      <c r="B65">
        <v>36</v>
      </c>
      <c r="C65">
        <v>43</v>
      </c>
    </row>
    <row r="66" spans="1:3">
      <c r="A66">
        <v>45</v>
      </c>
      <c r="B66">
        <v>28</v>
      </c>
      <c r="C66">
        <v>40</v>
      </c>
    </row>
    <row r="67" spans="1:3">
      <c r="A67">
        <v>47</v>
      </c>
      <c r="B67">
        <v>26</v>
      </c>
      <c r="C67">
        <v>29</v>
      </c>
    </row>
    <row r="68" spans="1:3">
      <c r="A68">
        <v>64</v>
      </c>
      <c r="B68">
        <v>34</v>
      </c>
      <c r="C68">
        <v>24</v>
      </c>
    </row>
    <row r="69" spans="1:3">
      <c r="A69">
        <v>26</v>
      </c>
      <c r="B69">
        <v>30</v>
      </c>
      <c r="C69">
        <v>43</v>
      </c>
    </row>
    <row r="70" spans="1:3">
      <c r="A70">
        <v>52</v>
      </c>
      <c r="B70">
        <v>38</v>
      </c>
      <c r="C70">
        <v>31</v>
      </c>
    </row>
    <row r="71" spans="1:3">
      <c r="A71">
        <v>30</v>
      </c>
      <c r="B71">
        <v>45</v>
      </c>
      <c r="C71">
        <v>29</v>
      </c>
    </row>
    <row r="72" spans="1:3">
      <c r="A72">
        <v>43</v>
      </c>
      <c r="B72">
        <v>35</v>
      </c>
      <c r="C72">
        <v>23</v>
      </c>
    </row>
    <row r="73" spans="1:3">
      <c r="A73">
        <v>31</v>
      </c>
      <c r="B73">
        <v>30</v>
      </c>
      <c r="C73">
        <v>51</v>
      </c>
    </row>
    <row r="74" spans="1:3">
      <c r="A74">
        <v>48</v>
      </c>
      <c r="B74">
        <v>3</v>
      </c>
      <c r="C74">
        <v>50</v>
      </c>
    </row>
    <row r="75" spans="1:3">
      <c r="A75">
        <v>20</v>
      </c>
      <c r="B75">
        <v>22</v>
      </c>
      <c r="C75">
        <v>36</v>
      </c>
    </row>
    <row r="76" spans="1:3">
      <c r="A76">
        <v>60</v>
      </c>
      <c r="B76">
        <v>22</v>
      </c>
      <c r="C76">
        <v>38</v>
      </c>
    </row>
    <row r="77" spans="1:3">
      <c r="A77">
        <v>54</v>
      </c>
      <c r="B77">
        <v>43</v>
      </c>
      <c r="C77">
        <v>41</v>
      </c>
    </row>
    <row r="78" spans="1:3">
      <c r="A78">
        <v>55</v>
      </c>
      <c r="B78">
        <v>46</v>
      </c>
      <c r="C78">
        <v>32</v>
      </c>
    </row>
    <row r="79" spans="1:3">
      <c r="A79">
        <v>46</v>
      </c>
      <c r="B79">
        <v>33</v>
      </c>
      <c r="C79">
        <v>52</v>
      </c>
    </row>
    <row r="80" spans="1:3">
      <c r="A80">
        <v>40</v>
      </c>
      <c r="B80">
        <v>45</v>
      </c>
      <c r="C80">
        <v>40</v>
      </c>
    </row>
    <row r="81" spans="1:3">
      <c r="A81">
        <v>49</v>
      </c>
      <c r="B81">
        <v>21</v>
      </c>
      <c r="C81">
        <v>21</v>
      </c>
    </row>
    <row r="82" spans="1:3">
      <c r="A82">
        <v>45</v>
      </c>
      <c r="B82">
        <v>31</v>
      </c>
      <c r="C82">
        <v>19</v>
      </c>
    </row>
    <row r="83" spans="1:3">
      <c r="A83">
        <v>48</v>
      </c>
      <c r="B83">
        <v>34</v>
      </c>
      <c r="C83">
        <v>15</v>
      </c>
    </row>
    <row r="84" spans="1:3">
      <c r="A84">
        <v>38</v>
      </c>
      <c r="B84">
        <v>28</v>
      </c>
      <c r="C84">
        <v>51</v>
      </c>
    </row>
    <row r="85" spans="1:3">
      <c r="A85">
        <v>30</v>
      </c>
      <c r="B85">
        <v>29</v>
      </c>
      <c r="C85">
        <v>30</v>
      </c>
    </row>
    <row r="86" spans="1:3">
      <c r="A86">
        <v>39</v>
      </c>
      <c r="B86">
        <v>33</v>
      </c>
      <c r="C86">
        <v>41</v>
      </c>
    </row>
    <row r="87" spans="1:3">
      <c r="A87">
        <v>53</v>
      </c>
      <c r="B87">
        <v>41</v>
      </c>
      <c r="C87">
        <v>15</v>
      </c>
    </row>
    <row r="88" spans="1:3">
      <c r="A88">
        <v>49</v>
      </c>
      <c r="B88">
        <v>40</v>
      </c>
      <c r="C88">
        <v>1</v>
      </c>
    </row>
    <row r="89" spans="1:3">
      <c r="A89">
        <v>67</v>
      </c>
      <c r="B89">
        <v>41</v>
      </c>
      <c r="C89">
        <v>36</v>
      </c>
    </row>
    <row r="90" spans="1:3">
      <c r="A90">
        <v>59</v>
      </c>
      <c r="B90">
        <v>31</v>
      </c>
      <c r="C90">
        <v>35</v>
      </c>
    </row>
    <row r="91" spans="1:3">
      <c r="A91">
        <v>50</v>
      </c>
      <c r="B91">
        <v>29</v>
      </c>
      <c r="C91">
        <v>28</v>
      </c>
    </row>
    <row r="92" spans="1:3">
      <c r="A92">
        <v>34</v>
      </c>
      <c r="B92">
        <v>43</v>
      </c>
      <c r="C92">
        <v>24</v>
      </c>
    </row>
    <row r="93" spans="1:3">
      <c r="A93">
        <v>48</v>
      </c>
      <c r="B93">
        <v>42</v>
      </c>
      <c r="C93">
        <v>37</v>
      </c>
    </row>
    <row r="94" spans="1:3">
      <c r="A94">
        <v>44</v>
      </c>
      <c r="B94">
        <v>52</v>
      </c>
      <c r="C94">
        <v>34</v>
      </c>
    </row>
    <row r="95" spans="1:3">
      <c r="A95">
        <v>36</v>
      </c>
      <c r="B95">
        <v>32</v>
      </c>
      <c r="C95">
        <v>28</v>
      </c>
    </row>
    <row r="96" spans="1:3">
      <c r="A96">
        <v>56</v>
      </c>
      <c r="B96">
        <v>31</v>
      </c>
      <c r="C96">
        <v>25</v>
      </c>
    </row>
    <row r="97" spans="1:3">
      <c r="A97">
        <v>67</v>
      </c>
      <c r="B97">
        <v>25</v>
      </c>
      <c r="C97">
        <v>35</v>
      </c>
    </row>
    <row r="98" spans="1:3">
      <c r="A98">
        <v>70</v>
      </c>
      <c r="B98">
        <v>31</v>
      </c>
      <c r="C98">
        <v>45</v>
      </c>
    </row>
    <row r="99" spans="1:3">
      <c r="A99">
        <v>67</v>
      </c>
      <c r="B99">
        <v>42</v>
      </c>
      <c r="C99">
        <v>14</v>
      </c>
    </row>
    <row r="100" spans="1:3">
      <c r="A100">
        <v>52</v>
      </c>
      <c r="B100">
        <v>33</v>
      </c>
      <c r="C100">
        <v>33</v>
      </c>
    </row>
    <row r="101" spans="1:3">
      <c r="A101">
        <v>29</v>
      </c>
      <c r="B101">
        <v>45</v>
      </c>
      <c r="C101">
        <v>19</v>
      </c>
    </row>
    <row r="102" spans="1:3">
      <c r="A102">
        <v>38</v>
      </c>
      <c r="B102">
        <v>27</v>
      </c>
      <c r="C102">
        <v>31</v>
      </c>
    </row>
    <row r="103" spans="1:3">
      <c r="A103">
        <v>62</v>
      </c>
      <c r="B103">
        <v>40</v>
      </c>
      <c r="C103">
        <v>30</v>
      </c>
    </row>
    <row r="104" spans="1:3">
      <c r="A104">
        <v>35</v>
      </c>
      <c r="B104">
        <v>52</v>
      </c>
      <c r="C104">
        <v>15</v>
      </c>
    </row>
    <row r="105" spans="1:3">
      <c r="A105">
        <v>22</v>
      </c>
      <c r="B105">
        <v>37</v>
      </c>
      <c r="C105">
        <v>25</v>
      </c>
    </row>
    <row r="106" spans="1:3">
      <c r="A106">
        <v>35</v>
      </c>
      <c r="B106">
        <v>51</v>
      </c>
      <c r="C106">
        <v>8</v>
      </c>
    </row>
    <row r="107" spans="1:3">
      <c r="A107">
        <v>24</v>
      </c>
      <c r="B107">
        <v>26</v>
      </c>
      <c r="C107">
        <v>31</v>
      </c>
    </row>
    <row r="108" spans="1:3">
      <c r="A108">
        <v>45</v>
      </c>
      <c r="B108">
        <v>47</v>
      </c>
      <c r="C108">
        <v>29</v>
      </c>
    </row>
    <row r="109" spans="1:3">
      <c r="A109">
        <v>30</v>
      </c>
      <c r="B109">
        <v>35</v>
      </c>
      <c r="C109">
        <v>25</v>
      </c>
    </row>
    <row r="110" spans="1:3">
      <c r="A110">
        <v>19</v>
      </c>
      <c r="B110">
        <v>35</v>
      </c>
      <c r="C110">
        <v>22</v>
      </c>
    </row>
    <row r="111" spans="1:3">
      <c r="A111">
        <v>65</v>
      </c>
      <c r="B111">
        <v>35</v>
      </c>
      <c r="C111">
        <v>17</v>
      </c>
    </row>
    <row r="112" spans="1:3">
      <c r="A112">
        <v>29</v>
      </c>
      <c r="B112">
        <v>27</v>
      </c>
      <c r="C112">
        <v>41</v>
      </c>
    </row>
    <row r="113" spans="1:3">
      <c r="A113">
        <v>64</v>
      </c>
      <c r="C113">
        <v>35</v>
      </c>
    </row>
    <row r="114" spans="1:3">
      <c r="A114">
        <v>41</v>
      </c>
      <c r="C114">
        <v>31</v>
      </c>
    </row>
    <row r="115" spans="1:3">
      <c r="A115">
        <v>45</v>
      </c>
      <c r="C115">
        <v>38</v>
      </c>
    </row>
    <row r="116" spans="1:3">
      <c r="A116">
        <v>20</v>
      </c>
      <c r="C116">
        <v>3</v>
      </c>
    </row>
    <row r="117" spans="1:3">
      <c r="A117">
        <v>61</v>
      </c>
      <c r="C117">
        <v>28</v>
      </c>
    </row>
    <row r="118" spans="1:3">
      <c r="A118">
        <v>71</v>
      </c>
      <c r="C118">
        <v>21</v>
      </c>
    </row>
    <row r="119" spans="1:3">
      <c r="A119">
        <v>27</v>
      </c>
      <c r="C119">
        <v>50</v>
      </c>
    </row>
    <row r="120" spans="1:3">
      <c r="A120">
        <v>38</v>
      </c>
      <c r="C120">
        <v>28</v>
      </c>
    </row>
    <row r="121" spans="1:3">
      <c r="A121">
        <v>48</v>
      </c>
      <c r="C121">
        <v>25</v>
      </c>
    </row>
    <row r="122" spans="1:3">
      <c r="A122">
        <v>36</v>
      </c>
      <c r="C122">
        <v>13</v>
      </c>
    </row>
    <row r="123" spans="1:3">
      <c r="A123">
        <v>31</v>
      </c>
      <c r="C123">
        <v>34</v>
      </c>
    </row>
    <row r="124" spans="1:3">
      <c r="A124">
        <v>29</v>
      </c>
      <c r="C124">
        <v>31</v>
      </c>
    </row>
    <row r="125" spans="1:3">
      <c r="A125">
        <v>55</v>
      </c>
      <c r="C125">
        <v>10</v>
      </c>
    </row>
    <row r="126" spans="1:3">
      <c r="A126">
        <v>39</v>
      </c>
      <c r="C126">
        <v>53</v>
      </c>
    </row>
    <row r="127" spans="1:3">
      <c r="A127">
        <v>21</v>
      </c>
      <c r="C127">
        <v>18</v>
      </c>
    </row>
    <row r="128" spans="1:3">
      <c r="A128">
        <v>66</v>
      </c>
      <c r="C128">
        <v>38</v>
      </c>
    </row>
    <row r="129" spans="1:3">
      <c r="A129">
        <v>51</v>
      </c>
      <c r="C129">
        <v>27</v>
      </c>
    </row>
    <row r="130" spans="1:3">
      <c r="A130">
        <v>42</v>
      </c>
      <c r="C130">
        <v>47</v>
      </c>
    </row>
    <row r="131" spans="1:3">
      <c r="A131">
        <v>49</v>
      </c>
      <c r="C131">
        <v>27</v>
      </c>
    </row>
    <row r="132" spans="1:3">
      <c r="A132">
        <v>14</v>
      </c>
      <c r="C132">
        <v>25</v>
      </c>
    </row>
    <row r="133" spans="1:3">
      <c r="A133">
        <v>53</v>
      </c>
      <c r="C133">
        <v>30</v>
      </c>
    </row>
    <row r="134" spans="1:3">
      <c r="A134">
        <v>50</v>
      </c>
      <c r="C134">
        <v>38</v>
      </c>
    </row>
    <row r="135" spans="1:3">
      <c r="A135">
        <v>49</v>
      </c>
      <c r="C135">
        <v>21</v>
      </c>
    </row>
    <row r="136" spans="1:3">
      <c r="A136">
        <v>47</v>
      </c>
      <c r="C136">
        <v>53</v>
      </c>
    </row>
    <row r="137" spans="1:3">
      <c r="A137">
        <v>41</v>
      </c>
      <c r="C137">
        <v>31</v>
      </c>
    </row>
    <row r="138" spans="1:3">
      <c r="A138">
        <v>13</v>
      </c>
      <c r="C138">
        <v>25</v>
      </c>
    </row>
    <row r="139" spans="1:3">
      <c r="A139">
        <v>46</v>
      </c>
      <c r="C139">
        <v>47</v>
      </c>
    </row>
    <row r="140" spans="1:3">
      <c r="A140">
        <v>49</v>
      </c>
      <c r="C140">
        <v>30</v>
      </c>
    </row>
    <row r="141" spans="1:3">
      <c r="A141">
        <v>31</v>
      </c>
      <c r="C141">
        <v>59</v>
      </c>
    </row>
    <row r="142" spans="1:3">
      <c r="A142">
        <v>53</v>
      </c>
      <c r="C142">
        <v>44</v>
      </c>
    </row>
    <row r="143" spans="1:3">
      <c r="A143">
        <v>24</v>
      </c>
      <c r="C143">
        <v>36</v>
      </c>
    </row>
    <row r="144" spans="1:3">
      <c r="A144">
        <v>50</v>
      </c>
      <c r="C144">
        <v>28</v>
      </c>
    </row>
    <row r="145" spans="1:3">
      <c r="A145">
        <v>34</v>
      </c>
      <c r="C145">
        <v>30</v>
      </c>
    </row>
    <row r="146" spans="1:3">
      <c r="A146">
        <v>22</v>
      </c>
      <c r="C146">
        <v>24</v>
      </c>
    </row>
    <row r="147" spans="1:3">
      <c r="A147">
        <v>35</v>
      </c>
      <c r="C147">
        <v>49</v>
      </c>
    </row>
    <row r="148" spans="1:3">
      <c r="A148">
        <v>16</v>
      </c>
      <c r="C148">
        <v>34</v>
      </c>
    </row>
    <row r="149" spans="1:3">
      <c r="A149">
        <v>68</v>
      </c>
      <c r="C149">
        <v>35</v>
      </c>
    </row>
    <row r="150" spans="1:3">
      <c r="A150">
        <v>44</v>
      </c>
      <c r="C150">
        <v>20</v>
      </c>
    </row>
    <row r="151" spans="1:3">
      <c r="A151">
        <v>24</v>
      </c>
      <c r="C151">
        <v>68</v>
      </c>
    </row>
    <row r="152" spans="1:3">
      <c r="A152">
        <v>59</v>
      </c>
      <c r="C152">
        <v>45</v>
      </c>
    </row>
    <row r="153" spans="1:3">
      <c r="A153">
        <v>48</v>
      </c>
      <c r="C153">
        <v>55</v>
      </c>
    </row>
    <row r="154" spans="1:3">
      <c r="A154">
        <v>44</v>
      </c>
      <c r="C154">
        <v>53</v>
      </c>
    </row>
    <row r="155" spans="1:3">
      <c r="A155">
        <v>36</v>
      </c>
      <c r="C155">
        <v>32</v>
      </c>
    </row>
    <row r="156" spans="1:3">
      <c r="A156">
        <v>29</v>
      </c>
      <c r="C156">
        <v>41</v>
      </c>
    </row>
    <row r="157" spans="1:3">
      <c r="A157">
        <v>39</v>
      </c>
      <c r="C157">
        <v>25</v>
      </c>
    </row>
    <row r="158" spans="1:3">
      <c r="A158">
        <v>34</v>
      </c>
      <c r="C158">
        <v>56</v>
      </c>
    </row>
    <row r="159" spans="1:3">
      <c r="A159">
        <v>25</v>
      </c>
      <c r="C159">
        <v>48</v>
      </c>
    </row>
    <row r="160" spans="1:3">
      <c r="A160">
        <v>53</v>
      </c>
      <c r="C160">
        <v>14</v>
      </c>
    </row>
    <row r="161" spans="1:3">
      <c r="A161">
        <v>15</v>
      </c>
      <c r="C161">
        <v>20</v>
      </c>
    </row>
    <row r="162" spans="1:3">
      <c r="A162">
        <v>48</v>
      </c>
      <c r="C162">
        <v>19</v>
      </c>
    </row>
    <row r="163" spans="1:3">
      <c r="A163">
        <v>34</v>
      </c>
      <c r="C163">
        <v>41</v>
      </c>
    </row>
    <row r="164" spans="1:3">
      <c r="A164">
        <v>31</v>
      </c>
      <c r="C164">
        <v>29</v>
      </c>
    </row>
    <row r="165" spans="1:3">
      <c r="A165">
        <v>48</v>
      </c>
      <c r="C165">
        <v>24</v>
      </c>
    </row>
    <row r="166" spans="1:3">
      <c r="A166">
        <v>57</v>
      </c>
      <c r="C166">
        <v>46</v>
      </c>
    </row>
    <row r="167" spans="1:3">
      <c r="A167">
        <v>27</v>
      </c>
      <c r="C167">
        <v>39</v>
      </c>
    </row>
    <row r="168" spans="1:3">
      <c r="A168">
        <v>68</v>
      </c>
      <c r="C168">
        <v>42</v>
      </c>
    </row>
    <row r="169" spans="1:3">
      <c r="A169">
        <v>47</v>
      </c>
      <c r="C169">
        <v>39</v>
      </c>
    </row>
    <row r="170" spans="1:3">
      <c r="A170">
        <v>22</v>
      </c>
      <c r="C170">
        <v>31</v>
      </c>
    </row>
    <row r="171" spans="1:3">
      <c r="A171">
        <v>54</v>
      </c>
      <c r="C171">
        <v>11</v>
      </c>
    </row>
    <row r="172" spans="1:3">
      <c r="A172">
        <v>46</v>
      </c>
      <c r="C172">
        <v>52</v>
      </c>
    </row>
    <row r="173" spans="1:3">
      <c r="A173">
        <v>26</v>
      </c>
      <c r="C173">
        <v>37</v>
      </c>
    </row>
    <row r="174" spans="1:3">
      <c r="A174">
        <v>64</v>
      </c>
      <c r="C174">
        <v>36</v>
      </c>
    </row>
    <row r="175" spans="1:3">
      <c r="A175">
        <v>29</v>
      </c>
      <c r="C175">
        <v>16</v>
      </c>
    </row>
    <row r="176" spans="1:3">
      <c r="A176">
        <v>58</v>
      </c>
      <c r="C176">
        <v>26</v>
      </c>
    </row>
    <row r="177" spans="1:3">
      <c r="A177">
        <v>38</v>
      </c>
      <c r="C177">
        <v>53</v>
      </c>
    </row>
    <row r="178" spans="1:3">
      <c r="A178">
        <v>28</v>
      </c>
      <c r="C178">
        <v>27</v>
      </c>
    </row>
    <row r="179" spans="1:3">
      <c r="A179">
        <v>25</v>
      </c>
      <c r="C179">
        <v>23</v>
      </c>
    </row>
    <row r="180" spans="1:3">
      <c r="A180">
        <v>47</v>
      </c>
      <c r="C180">
        <v>41</v>
      </c>
    </row>
    <row r="181" spans="1:3">
      <c r="A181">
        <v>36</v>
      </c>
      <c r="C181">
        <v>24</v>
      </c>
    </row>
    <row r="182" spans="1:3">
      <c r="A182">
        <v>18</v>
      </c>
      <c r="C182">
        <v>51</v>
      </c>
    </row>
    <row r="183" spans="1:3">
      <c r="A183">
        <v>38</v>
      </c>
      <c r="C183">
        <v>34</v>
      </c>
    </row>
    <row r="184" spans="1:3">
      <c r="A184">
        <v>55</v>
      </c>
      <c r="C184">
        <v>23</v>
      </c>
    </row>
    <row r="185" spans="1:3">
      <c r="A185">
        <v>31</v>
      </c>
      <c r="C185">
        <v>27</v>
      </c>
    </row>
    <row r="186" spans="1:3">
      <c r="A186">
        <v>46</v>
      </c>
      <c r="C186">
        <v>26</v>
      </c>
    </row>
    <row r="187" spans="1:3">
      <c r="A187">
        <v>22</v>
      </c>
      <c r="C187">
        <v>40</v>
      </c>
    </row>
    <row r="188" spans="1:3">
      <c r="A188">
        <v>31</v>
      </c>
      <c r="C188">
        <v>25</v>
      </c>
    </row>
    <row r="189" spans="1:3">
      <c r="A189">
        <v>18</v>
      </c>
      <c r="C189">
        <v>17</v>
      </c>
    </row>
    <row r="190" spans="1:3">
      <c r="A190">
        <v>52</v>
      </c>
      <c r="C190">
        <v>42</v>
      </c>
    </row>
    <row r="191" spans="1:3">
      <c r="A191">
        <v>29</v>
      </c>
      <c r="C191">
        <v>33</v>
      </c>
    </row>
    <row r="192" spans="1:3">
      <c r="A192">
        <v>34</v>
      </c>
      <c r="C192">
        <v>31</v>
      </c>
    </row>
    <row r="193" spans="1:3">
      <c r="A193">
        <v>45</v>
      </c>
      <c r="C193">
        <v>26</v>
      </c>
    </row>
    <row r="194" spans="1:3">
      <c r="A194">
        <v>39</v>
      </c>
      <c r="C194">
        <v>38</v>
      </c>
    </row>
    <row r="195" spans="1:3">
      <c r="A195">
        <v>35</v>
      </c>
      <c r="C195">
        <v>49</v>
      </c>
    </row>
    <row r="196" spans="1:3">
      <c r="A196">
        <v>45</v>
      </c>
      <c r="C196">
        <v>1</v>
      </c>
    </row>
    <row r="197" spans="1:3">
      <c r="A197">
        <v>48</v>
      </c>
      <c r="C197">
        <v>60</v>
      </c>
    </row>
    <row r="198" spans="1:3">
      <c r="A198">
        <v>44</v>
      </c>
      <c r="C198">
        <v>36</v>
      </c>
    </row>
    <row r="199" spans="1:3">
      <c r="A199">
        <v>63</v>
      </c>
      <c r="C199">
        <v>34</v>
      </c>
    </row>
    <row r="200" spans="1:3">
      <c r="A200">
        <v>28</v>
      </c>
      <c r="C200">
        <v>37</v>
      </c>
    </row>
    <row r="201" spans="1:3">
      <c r="A201">
        <v>23</v>
      </c>
      <c r="C201">
        <v>36</v>
      </c>
    </row>
    <row r="202" spans="1:3">
      <c r="A202">
        <v>44</v>
      </c>
      <c r="C202">
        <v>23</v>
      </c>
    </row>
    <row r="203" spans="1:3">
      <c r="A203">
        <v>58</v>
      </c>
      <c r="C203">
        <v>43</v>
      </c>
    </row>
    <row r="204" spans="1:3">
      <c r="A204">
        <v>67</v>
      </c>
      <c r="C204">
        <v>22</v>
      </c>
    </row>
    <row r="205" spans="1:3">
      <c r="A205">
        <v>26</v>
      </c>
      <c r="C205">
        <v>20</v>
      </c>
    </row>
    <row r="206" spans="1:3">
      <c r="A206">
        <v>50</v>
      </c>
      <c r="C206">
        <v>17</v>
      </c>
    </row>
    <row r="207" spans="1:3">
      <c r="A207">
        <v>34</v>
      </c>
      <c r="C207">
        <v>38</v>
      </c>
    </row>
    <row r="208" spans="1:3">
      <c r="A208">
        <v>62</v>
      </c>
      <c r="C208">
        <v>18</v>
      </c>
    </row>
    <row r="209" spans="1:3">
      <c r="A209">
        <v>44</v>
      </c>
      <c r="C209">
        <v>47</v>
      </c>
    </row>
    <row r="210" spans="1:3">
      <c r="A210">
        <v>39</v>
      </c>
      <c r="C210">
        <v>33</v>
      </c>
    </row>
    <row r="211" spans="1:3">
      <c r="A211">
        <v>31</v>
      </c>
      <c r="C211">
        <v>25</v>
      </c>
    </row>
    <row r="212" spans="1:3">
      <c r="A212">
        <v>20</v>
      </c>
      <c r="C212">
        <v>37</v>
      </c>
    </row>
    <row r="213" spans="1:3">
      <c r="A213">
        <v>61</v>
      </c>
      <c r="C213">
        <v>35</v>
      </c>
    </row>
    <row r="214" spans="1:3">
      <c r="A214">
        <v>33</v>
      </c>
      <c r="C214">
        <v>14</v>
      </c>
    </row>
    <row r="215" spans="1:3">
      <c r="A215">
        <v>60</v>
      </c>
      <c r="C215">
        <v>42</v>
      </c>
    </row>
    <row r="216" spans="1:3">
      <c r="A216">
        <v>13</v>
      </c>
      <c r="C216">
        <v>29</v>
      </c>
    </row>
    <row r="217" spans="1:3">
      <c r="A217">
        <v>53</v>
      </c>
      <c r="C217">
        <v>24</v>
      </c>
    </row>
    <row r="218" spans="1:3">
      <c r="A218">
        <v>47</v>
      </c>
      <c r="C218">
        <v>38</v>
      </c>
    </row>
    <row r="219" spans="1:3">
      <c r="A219">
        <v>37</v>
      </c>
      <c r="C219">
        <v>44</v>
      </c>
    </row>
    <row r="220" spans="1:3">
      <c r="A220">
        <v>40</v>
      </c>
      <c r="C220">
        <v>27</v>
      </c>
    </row>
    <row r="221" spans="1:3">
      <c r="A221">
        <v>62</v>
      </c>
      <c r="C221">
        <v>36</v>
      </c>
    </row>
    <row r="222" spans="1:3">
      <c r="A222">
        <v>29</v>
      </c>
      <c r="C222">
        <v>29</v>
      </c>
    </row>
    <row r="223" spans="1:3">
      <c r="A223">
        <v>37</v>
      </c>
      <c r="C223">
        <v>38</v>
      </c>
    </row>
    <row r="224" spans="1:3">
      <c r="A224">
        <v>17</v>
      </c>
      <c r="C224">
        <v>17</v>
      </c>
    </row>
    <row r="225" spans="1:3">
      <c r="A225">
        <v>20</v>
      </c>
      <c r="C225">
        <v>23</v>
      </c>
    </row>
    <row r="226" spans="1:3">
      <c r="A226">
        <v>28</v>
      </c>
      <c r="C226">
        <v>36</v>
      </c>
    </row>
    <row r="227" spans="1:3">
      <c r="A227">
        <v>53</v>
      </c>
      <c r="C227">
        <v>22</v>
      </c>
    </row>
    <row r="228" spans="1:3">
      <c r="A228">
        <v>51</v>
      </c>
      <c r="C228">
        <v>43</v>
      </c>
    </row>
    <row r="229" spans="1:3">
      <c r="A229">
        <v>31</v>
      </c>
      <c r="C229">
        <v>21</v>
      </c>
    </row>
    <row r="230" spans="1:3">
      <c r="A230">
        <v>55</v>
      </c>
      <c r="C230">
        <v>21</v>
      </c>
    </row>
    <row r="231" spans="1:3">
      <c r="A231">
        <v>49</v>
      </c>
      <c r="C231">
        <v>30</v>
      </c>
    </row>
    <row r="232" spans="1:3">
      <c r="A232">
        <v>52</v>
      </c>
      <c r="C232">
        <v>23</v>
      </c>
    </row>
    <row r="233" spans="1:3">
      <c r="A233">
        <v>39</v>
      </c>
      <c r="C233">
        <v>14</v>
      </c>
    </row>
    <row r="234" spans="1:3">
      <c r="A234">
        <v>28</v>
      </c>
      <c r="C234">
        <v>42</v>
      </c>
    </row>
    <row r="235" spans="1:3">
      <c r="A235">
        <v>36</v>
      </c>
      <c r="C235">
        <v>33</v>
      </c>
    </row>
    <row r="236" spans="1:3">
      <c r="A236">
        <v>82</v>
      </c>
      <c r="C236">
        <v>25</v>
      </c>
    </row>
    <row r="237" spans="1:3">
      <c r="A237">
        <v>39</v>
      </c>
      <c r="C237">
        <v>24</v>
      </c>
    </row>
    <row r="238" spans="1:3">
      <c r="A238">
        <v>54</v>
      </c>
      <c r="C238">
        <v>23</v>
      </c>
    </row>
    <row r="239" spans="1:3">
      <c r="A239">
        <v>42</v>
      </c>
      <c r="C239">
        <v>53</v>
      </c>
    </row>
    <row r="240" spans="1:3">
      <c r="A240">
        <v>35</v>
      </c>
      <c r="C240">
        <v>34</v>
      </c>
    </row>
    <row r="241" spans="1:3">
      <c r="A241">
        <v>53</v>
      </c>
      <c r="C241">
        <v>30</v>
      </c>
    </row>
    <row r="242" spans="1:3">
      <c r="A242">
        <v>43</v>
      </c>
      <c r="C242">
        <v>39</v>
      </c>
    </row>
    <row r="243" spans="1:3">
      <c r="A243">
        <v>50</v>
      </c>
      <c r="C243">
        <v>32</v>
      </c>
    </row>
    <row r="244" spans="1:3">
      <c r="A244">
        <v>49</v>
      </c>
      <c r="C244">
        <v>19</v>
      </c>
    </row>
    <row r="245" spans="1:3">
      <c r="A245">
        <v>48</v>
      </c>
      <c r="C245">
        <v>41</v>
      </c>
    </row>
    <row r="246" spans="1:3">
      <c r="A246">
        <v>50</v>
      </c>
      <c r="C246">
        <v>30</v>
      </c>
    </row>
    <row r="247" spans="1:3">
      <c r="A247">
        <v>47</v>
      </c>
      <c r="C247">
        <v>28</v>
      </c>
    </row>
    <row r="248" spans="1:3">
      <c r="A248">
        <v>34</v>
      </c>
      <c r="C248">
        <v>37</v>
      </c>
    </row>
    <row r="249" spans="1:3">
      <c r="A249">
        <v>22</v>
      </c>
      <c r="C249">
        <v>28</v>
      </c>
    </row>
    <row r="250" spans="1:3">
      <c r="A250">
        <v>30</v>
      </c>
      <c r="C250">
        <v>50</v>
      </c>
    </row>
    <row r="251" spans="1:3">
      <c r="A251">
        <v>67</v>
      </c>
      <c r="C251">
        <v>16</v>
      </c>
    </row>
    <row r="252" spans="1:3">
      <c r="A252">
        <v>34</v>
      </c>
      <c r="C252">
        <v>15</v>
      </c>
    </row>
    <row r="253" spans="1:3">
      <c r="A253">
        <v>43</v>
      </c>
      <c r="C253">
        <v>50</v>
      </c>
    </row>
    <row r="254" spans="1:3">
      <c r="A254">
        <v>45</v>
      </c>
      <c r="C254">
        <v>14</v>
      </c>
    </row>
    <row r="255" spans="1:3">
      <c r="A255">
        <v>26</v>
      </c>
      <c r="C255">
        <v>13</v>
      </c>
    </row>
    <row r="256" spans="1:3">
      <c r="A256">
        <v>37</v>
      </c>
      <c r="C256">
        <v>38</v>
      </c>
    </row>
    <row r="257" spans="1:3">
      <c r="A257">
        <v>29</v>
      </c>
      <c r="C257">
        <v>32</v>
      </c>
    </row>
    <row r="258" spans="1:3">
      <c r="A258">
        <v>49</v>
      </c>
      <c r="C258">
        <v>27</v>
      </c>
    </row>
    <row r="259" spans="1:3">
      <c r="A259">
        <v>26</v>
      </c>
      <c r="C259">
        <v>43</v>
      </c>
    </row>
    <row r="260" spans="1:3">
      <c r="A260">
        <v>15</v>
      </c>
      <c r="C260">
        <v>45</v>
      </c>
    </row>
    <row r="261" spans="1:3">
      <c r="A261">
        <v>64</v>
      </c>
      <c r="C261">
        <v>29</v>
      </c>
    </row>
    <row r="262" spans="1:3">
      <c r="A262">
        <v>39</v>
      </c>
      <c r="C262">
        <v>22</v>
      </c>
    </row>
    <row r="263" spans="1:3">
      <c r="A263">
        <v>44</v>
      </c>
      <c r="C263">
        <v>27</v>
      </c>
    </row>
    <row r="264" spans="1:3">
      <c r="A264">
        <v>38</v>
      </c>
      <c r="C264">
        <v>26</v>
      </c>
    </row>
    <row r="265" spans="1:3">
      <c r="A265">
        <v>37</v>
      </c>
      <c r="C265">
        <v>23</v>
      </c>
    </row>
    <row r="266" spans="1:3">
      <c r="A266">
        <v>44</v>
      </c>
      <c r="C266">
        <v>40</v>
      </c>
    </row>
    <row r="267" spans="1:3">
      <c r="A267">
        <v>40</v>
      </c>
      <c r="C267">
        <v>25</v>
      </c>
    </row>
    <row r="268" spans="1:3">
      <c r="A268">
        <v>56</v>
      </c>
      <c r="C268">
        <v>12</v>
      </c>
    </row>
    <row r="269" spans="1:3">
      <c r="A269">
        <v>53</v>
      </c>
      <c r="C269">
        <v>16</v>
      </c>
    </row>
    <row r="270" spans="1:3">
      <c r="A270">
        <v>34</v>
      </c>
      <c r="C270">
        <v>25</v>
      </c>
    </row>
    <row r="271" spans="1:3">
      <c r="A271">
        <v>54</v>
      </c>
      <c r="C271">
        <v>18</v>
      </c>
    </row>
    <row r="272" spans="1:3">
      <c r="A272">
        <v>47</v>
      </c>
      <c r="C272">
        <v>28</v>
      </c>
    </row>
    <row r="273" spans="1:3">
      <c r="A273">
        <v>49</v>
      </c>
      <c r="C273">
        <v>17</v>
      </c>
    </row>
    <row r="274" spans="1:3">
      <c r="A274">
        <v>60</v>
      </c>
      <c r="C274">
        <v>23</v>
      </c>
    </row>
    <row r="275" spans="1:3">
      <c r="A275">
        <v>54</v>
      </c>
      <c r="C275">
        <v>14</v>
      </c>
    </row>
    <row r="276" spans="1:3">
      <c r="A276">
        <v>31</v>
      </c>
      <c r="C276">
        <v>29</v>
      </c>
    </row>
    <row r="277" spans="1:3">
      <c r="A277">
        <v>47</v>
      </c>
      <c r="C277">
        <v>28</v>
      </c>
    </row>
    <row r="278" spans="1:3">
      <c r="A278">
        <v>46</v>
      </c>
      <c r="C278">
        <v>45</v>
      </c>
    </row>
    <row r="279" spans="1:3">
      <c r="A279">
        <v>46</v>
      </c>
      <c r="C279">
        <v>31</v>
      </c>
    </row>
    <row r="280" spans="1:3">
      <c r="A280">
        <v>64</v>
      </c>
      <c r="C280">
        <v>49</v>
      </c>
    </row>
    <row r="281" spans="1:3">
      <c r="A281">
        <v>61</v>
      </c>
      <c r="C281">
        <v>49</v>
      </c>
    </row>
    <row r="282" spans="1:3">
      <c r="A282">
        <v>58</v>
      </c>
      <c r="C282">
        <v>17</v>
      </c>
    </row>
    <row r="283" spans="1:3">
      <c r="A283">
        <v>35</v>
      </c>
      <c r="C283">
        <v>42</v>
      </c>
    </row>
    <row r="284" spans="1:3">
      <c r="A284">
        <v>52</v>
      </c>
      <c r="C284">
        <v>14</v>
      </c>
    </row>
    <row r="285" spans="1:3">
      <c r="A285">
        <v>35</v>
      </c>
      <c r="C285">
        <v>47</v>
      </c>
    </row>
    <row r="286" spans="1:3">
      <c r="A286">
        <v>51</v>
      </c>
      <c r="C286">
        <v>28</v>
      </c>
    </row>
    <row r="287" spans="1:3">
      <c r="A287">
        <v>54</v>
      </c>
      <c r="C287">
        <v>24</v>
      </c>
    </row>
    <row r="288" spans="1:3">
      <c r="A288">
        <v>35</v>
      </c>
      <c r="C288">
        <v>17</v>
      </c>
    </row>
    <row r="289" spans="1:3">
      <c r="A289">
        <v>25</v>
      </c>
      <c r="C289">
        <v>14</v>
      </c>
    </row>
    <row r="290" spans="1:3">
      <c r="A290">
        <v>46</v>
      </c>
      <c r="C290">
        <v>45</v>
      </c>
    </row>
    <row r="291" spans="1:3">
      <c r="A291">
        <v>38</v>
      </c>
      <c r="C291">
        <v>21</v>
      </c>
    </row>
    <row r="292" spans="1:3">
      <c r="A292">
        <v>47</v>
      </c>
      <c r="C292">
        <v>50</v>
      </c>
    </row>
    <row r="293" spans="1:3">
      <c r="A293">
        <v>42</v>
      </c>
      <c r="C293">
        <v>39</v>
      </c>
    </row>
    <row r="294" spans="1:3">
      <c r="A294">
        <v>40</v>
      </c>
      <c r="C294">
        <v>10</v>
      </c>
    </row>
    <row r="295" spans="1:3">
      <c r="A295">
        <v>52</v>
      </c>
      <c r="C295">
        <v>30</v>
      </c>
    </row>
    <row r="296" spans="1:3">
      <c r="A296">
        <v>42</v>
      </c>
      <c r="C296">
        <v>25</v>
      </c>
    </row>
    <row r="297" spans="1:3">
      <c r="A297">
        <v>33</v>
      </c>
      <c r="C297">
        <v>25</v>
      </c>
    </row>
    <row r="298" spans="1:3">
      <c r="A298">
        <v>56</v>
      </c>
      <c r="C298">
        <v>41</v>
      </c>
    </row>
    <row r="299" spans="1:3">
      <c r="A299">
        <v>46</v>
      </c>
      <c r="C299">
        <v>19</v>
      </c>
    </row>
    <row r="300" spans="1:3">
      <c r="A300">
        <v>52</v>
      </c>
      <c r="C300">
        <v>15</v>
      </c>
    </row>
    <row r="301" spans="1:3">
      <c r="A301">
        <v>34</v>
      </c>
      <c r="C301">
        <v>24</v>
      </c>
    </row>
    <row r="302" spans="1:3">
      <c r="A302">
        <v>49</v>
      </c>
      <c r="C302">
        <v>14</v>
      </c>
    </row>
    <row r="303" spans="1:3">
      <c r="A303">
        <v>47</v>
      </c>
      <c r="C303">
        <v>31</v>
      </c>
    </row>
    <row r="304" spans="1:3">
      <c r="A304">
        <v>46</v>
      </c>
      <c r="C304">
        <v>24</v>
      </c>
    </row>
    <row r="305" spans="1:3">
      <c r="A305">
        <v>56</v>
      </c>
      <c r="C305">
        <v>17</v>
      </c>
    </row>
    <row r="306" spans="1:3">
      <c r="A306">
        <v>53</v>
      </c>
      <c r="C306">
        <v>17</v>
      </c>
    </row>
    <row r="307" spans="1:3">
      <c r="A307">
        <v>27</v>
      </c>
      <c r="C307">
        <v>31</v>
      </c>
    </row>
    <row r="308" spans="1:3">
      <c r="A308">
        <v>52</v>
      </c>
      <c r="C308">
        <v>25</v>
      </c>
    </row>
    <row r="309" spans="1:3">
      <c r="A309">
        <v>27</v>
      </c>
      <c r="C309">
        <v>34</v>
      </c>
    </row>
    <row r="310" spans="1:3">
      <c r="A310">
        <v>56</v>
      </c>
      <c r="C310">
        <v>40</v>
      </c>
    </row>
    <row r="311" spans="1:3">
      <c r="A311">
        <v>53</v>
      </c>
      <c r="C311">
        <v>24</v>
      </c>
    </row>
    <row r="312" spans="1:3">
      <c r="A312">
        <v>59</v>
      </c>
      <c r="C312">
        <v>62</v>
      </c>
    </row>
    <row r="313" spans="1:3">
      <c r="A313">
        <v>46</v>
      </c>
      <c r="C313">
        <v>32</v>
      </c>
    </row>
    <row r="314" spans="1:3">
      <c r="A314">
        <v>31</v>
      </c>
      <c r="C314">
        <v>32</v>
      </c>
    </row>
    <row r="315" spans="1:3">
      <c r="A315">
        <v>48</v>
      </c>
      <c r="C315">
        <v>45</v>
      </c>
    </row>
    <row r="316" spans="1:3">
      <c r="A316">
        <v>56</v>
      </c>
      <c r="C316">
        <v>33</v>
      </c>
    </row>
    <row r="317" spans="1:3">
      <c r="A317">
        <v>42</v>
      </c>
      <c r="C317">
        <v>28</v>
      </c>
    </row>
    <row r="318" spans="1:3">
      <c r="A318">
        <v>35</v>
      </c>
      <c r="C318">
        <v>44</v>
      </c>
    </row>
    <row r="319" spans="1:3">
      <c r="A319">
        <v>45</v>
      </c>
      <c r="C319">
        <v>28</v>
      </c>
    </row>
    <row r="320" spans="1:3">
      <c r="A320">
        <v>46</v>
      </c>
      <c r="C320">
        <v>37</v>
      </c>
    </row>
    <row r="321" spans="1:3">
      <c r="A321">
        <v>30</v>
      </c>
      <c r="C321">
        <v>28</v>
      </c>
    </row>
    <row r="322" spans="1:3">
      <c r="A322">
        <v>46</v>
      </c>
      <c r="C322">
        <v>25</v>
      </c>
    </row>
    <row r="323" spans="1:3">
      <c r="A323">
        <v>38</v>
      </c>
      <c r="C323">
        <v>27</v>
      </c>
    </row>
    <row r="324" spans="1:3">
      <c r="A324">
        <v>32</v>
      </c>
      <c r="C324">
        <v>19</v>
      </c>
    </row>
    <row r="325" spans="1:3">
      <c r="A325">
        <v>50</v>
      </c>
      <c r="C325">
        <v>14</v>
      </c>
    </row>
    <row r="326" spans="1:3">
      <c r="A326">
        <v>64</v>
      </c>
      <c r="C326">
        <v>33</v>
      </c>
    </row>
    <row r="327" spans="1:3">
      <c r="A327">
        <v>60</v>
      </c>
      <c r="C327">
        <v>19</v>
      </c>
    </row>
    <row r="328" spans="1:3">
      <c r="A328">
        <v>35</v>
      </c>
      <c r="C328">
        <v>43</v>
      </c>
    </row>
    <row r="329" spans="1:3">
      <c r="A329">
        <v>50</v>
      </c>
      <c r="C329">
        <v>14</v>
      </c>
    </row>
    <row r="330" spans="1:3">
      <c r="A330">
        <v>33</v>
      </c>
      <c r="C330">
        <v>29</v>
      </c>
    </row>
    <row r="331" spans="1:3">
      <c r="A331">
        <v>30</v>
      </c>
      <c r="C331">
        <v>25</v>
      </c>
    </row>
    <row r="332" spans="1:3">
      <c r="A332">
        <v>73</v>
      </c>
      <c r="C332">
        <v>18</v>
      </c>
    </row>
    <row r="333" spans="1:3">
      <c r="A333">
        <v>67</v>
      </c>
      <c r="C333">
        <v>16</v>
      </c>
    </row>
    <row r="334" spans="1:3">
      <c r="A334">
        <v>49</v>
      </c>
      <c r="C334">
        <v>44</v>
      </c>
    </row>
    <row r="335" spans="1:3">
      <c r="A335">
        <v>74</v>
      </c>
      <c r="C335">
        <v>51</v>
      </c>
    </row>
    <row r="336" spans="1:3">
      <c r="A336">
        <v>51</v>
      </c>
      <c r="C336">
        <v>37</v>
      </c>
    </row>
    <row r="337" spans="1:3">
      <c r="A337">
        <v>36</v>
      </c>
      <c r="C337">
        <v>37</v>
      </c>
    </row>
    <row r="338" spans="1:3">
      <c r="A338">
        <v>29</v>
      </c>
      <c r="C338">
        <v>33</v>
      </c>
    </row>
    <row r="339" spans="1:3">
      <c r="A339">
        <v>46</v>
      </c>
      <c r="C339">
        <v>26</v>
      </c>
    </row>
    <row r="340" spans="1:3">
      <c r="A340">
        <v>44</v>
      </c>
      <c r="C340">
        <v>22</v>
      </c>
    </row>
    <row r="341" spans="1:3">
      <c r="A341">
        <v>45</v>
      </c>
      <c r="C341">
        <v>15</v>
      </c>
    </row>
    <row r="342" spans="1:3">
      <c r="C342">
        <v>40</v>
      </c>
    </row>
    <row r="343" spans="1:3">
      <c r="C343">
        <v>22</v>
      </c>
    </row>
    <row r="344" spans="1:3">
      <c r="C344">
        <v>19</v>
      </c>
    </row>
    <row r="345" spans="1:3">
      <c r="C345">
        <v>35</v>
      </c>
    </row>
    <row r="346" spans="1:3">
      <c r="C346">
        <v>21</v>
      </c>
    </row>
    <row r="347" spans="1:3">
      <c r="C347">
        <v>27</v>
      </c>
    </row>
    <row r="348" spans="1:3">
      <c r="C348">
        <v>27</v>
      </c>
    </row>
    <row r="349" spans="1:3">
      <c r="C349">
        <v>44</v>
      </c>
    </row>
    <row r="350" spans="1:3">
      <c r="C350">
        <v>26</v>
      </c>
    </row>
    <row r="351" spans="1:3">
      <c r="C351">
        <v>22</v>
      </c>
    </row>
    <row r="352" spans="1:3">
      <c r="C352">
        <v>52</v>
      </c>
    </row>
    <row r="353" spans="3:3">
      <c r="C353">
        <v>26</v>
      </c>
    </row>
    <row r="354" spans="3:3">
      <c r="C354">
        <v>32</v>
      </c>
    </row>
    <row r="355" spans="3:3">
      <c r="C355">
        <v>47</v>
      </c>
    </row>
    <row r="356" spans="3:3">
      <c r="C356">
        <v>24</v>
      </c>
    </row>
    <row r="357" spans="3:3">
      <c r="C357">
        <v>59</v>
      </c>
    </row>
    <row r="358" spans="3:3">
      <c r="C358">
        <v>43</v>
      </c>
    </row>
    <row r="359" spans="3:3">
      <c r="C359">
        <v>23</v>
      </c>
    </row>
    <row r="360" spans="3:3">
      <c r="C360">
        <v>26</v>
      </c>
    </row>
    <row r="361" spans="3:3">
      <c r="C361">
        <v>17</v>
      </c>
    </row>
    <row r="362" spans="3:3">
      <c r="C362">
        <v>21</v>
      </c>
    </row>
    <row r="363" spans="3:3">
      <c r="C363">
        <v>20</v>
      </c>
    </row>
    <row r="364" spans="3:3">
      <c r="C364">
        <v>45</v>
      </c>
    </row>
    <row r="365" spans="3:3">
      <c r="C365">
        <v>30</v>
      </c>
    </row>
    <row r="366" spans="3:3">
      <c r="C366">
        <v>20</v>
      </c>
    </row>
    <row r="367" spans="3:3">
      <c r="C367">
        <v>19</v>
      </c>
    </row>
    <row r="368" spans="3:3">
      <c r="C368">
        <v>42</v>
      </c>
    </row>
    <row r="369" spans="3:3">
      <c r="C369">
        <v>26</v>
      </c>
    </row>
    <row r="370" spans="3:3">
      <c r="C370">
        <v>37</v>
      </c>
    </row>
    <row r="371" spans="3:3">
      <c r="C371">
        <v>19</v>
      </c>
    </row>
    <row r="372" spans="3:3">
      <c r="C372">
        <v>35</v>
      </c>
    </row>
    <row r="373" spans="3:3">
      <c r="C373">
        <v>33</v>
      </c>
    </row>
    <row r="374" spans="3:3">
      <c r="C374">
        <v>29</v>
      </c>
    </row>
    <row r="375" spans="3:3">
      <c r="C375">
        <v>27</v>
      </c>
    </row>
    <row r="376" spans="3:3">
      <c r="C376">
        <v>13</v>
      </c>
    </row>
    <row r="377" spans="3:3">
      <c r="C377">
        <v>25</v>
      </c>
    </row>
    <row r="378" spans="3:3">
      <c r="C378">
        <v>44</v>
      </c>
    </row>
    <row r="379" spans="3:3">
      <c r="C379">
        <v>23</v>
      </c>
    </row>
    <row r="380" spans="3:3">
      <c r="C380">
        <v>25</v>
      </c>
    </row>
    <row r="381" spans="3:3">
      <c r="C381">
        <v>20</v>
      </c>
    </row>
    <row r="382" spans="3:3">
      <c r="C382">
        <v>17</v>
      </c>
    </row>
    <row r="383" spans="3:3">
      <c r="C383">
        <v>62</v>
      </c>
    </row>
    <row r="384" spans="3:3">
      <c r="C384">
        <v>55</v>
      </c>
    </row>
    <row r="385" spans="3:3">
      <c r="C385">
        <v>23</v>
      </c>
    </row>
    <row r="386" spans="3:3">
      <c r="C386">
        <v>48</v>
      </c>
    </row>
    <row r="387" spans="3:3">
      <c r="C387">
        <v>45</v>
      </c>
    </row>
    <row r="388" spans="3:3">
      <c r="C388">
        <v>35</v>
      </c>
    </row>
    <row r="389" spans="3:3">
      <c r="C389">
        <v>40</v>
      </c>
    </row>
    <row r="390" spans="3:3">
      <c r="C390">
        <v>34</v>
      </c>
    </row>
    <row r="391" spans="3:3">
      <c r="C391">
        <v>25</v>
      </c>
    </row>
    <row r="392" spans="3:3">
      <c r="C392">
        <v>40</v>
      </c>
    </row>
    <row r="393" spans="3:3">
      <c r="C393">
        <v>39</v>
      </c>
    </row>
    <row r="394" spans="3:3">
      <c r="C394">
        <v>38</v>
      </c>
    </row>
    <row r="395" spans="3:3">
      <c r="C395">
        <v>10</v>
      </c>
    </row>
    <row r="396" spans="3:3">
      <c r="C396">
        <v>40</v>
      </c>
    </row>
    <row r="397" spans="3:3">
      <c r="C397">
        <v>36</v>
      </c>
    </row>
    <row r="398" spans="3:3">
      <c r="C398">
        <v>19</v>
      </c>
    </row>
    <row r="399" spans="3:3">
      <c r="C399">
        <v>21</v>
      </c>
    </row>
    <row r="400" spans="3:3">
      <c r="C400">
        <v>18</v>
      </c>
    </row>
    <row r="401" spans="3:3">
      <c r="C401">
        <v>27</v>
      </c>
    </row>
    <row r="402" spans="3:3">
      <c r="C402">
        <v>32</v>
      </c>
    </row>
    <row r="403" spans="3:3">
      <c r="C403">
        <v>6</v>
      </c>
    </row>
    <row r="404" spans="3:3">
      <c r="C404">
        <v>33</v>
      </c>
    </row>
    <row r="405" spans="3:3">
      <c r="C405">
        <v>13</v>
      </c>
    </row>
    <row r="406" spans="3:3">
      <c r="C406">
        <v>31</v>
      </c>
    </row>
    <row r="407" spans="3:3">
      <c r="C407">
        <v>30</v>
      </c>
    </row>
    <row r="408" spans="3:3">
      <c r="C408">
        <v>26</v>
      </c>
    </row>
    <row r="409" spans="3:3">
      <c r="C409">
        <v>23</v>
      </c>
    </row>
    <row r="410" spans="3:3">
      <c r="C410">
        <v>19</v>
      </c>
    </row>
    <row r="411" spans="3:3">
      <c r="C411">
        <v>57</v>
      </c>
    </row>
    <row r="412" spans="3:3">
      <c r="C412">
        <v>43</v>
      </c>
    </row>
    <row r="413" spans="3:3">
      <c r="C413">
        <v>14</v>
      </c>
    </row>
    <row r="414" spans="3:3">
      <c r="C414">
        <v>12</v>
      </c>
    </row>
    <row r="415" spans="3:3">
      <c r="C415">
        <v>45</v>
      </c>
    </row>
    <row r="416" spans="3:3">
      <c r="C416">
        <v>31</v>
      </c>
    </row>
    <row r="417" spans="3:3">
      <c r="C417">
        <v>25</v>
      </c>
    </row>
    <row r="418" spans="3:3">
      <c r="C418">
        <v>43</v>
      </c>
    </row>
    <row r="419" spans="3:3">
      <c r="C419">
        <v>35</v>
      </c>
    </row>
    <row r="420" spans="3:3">
      <c r="C420">
        <v>27</v>
      </c>
    </row>
    <row r="421" spans="3:3">
      <c r="C421">
        <v>31</v>
      </c>
    </row>
    <row r="422" spans="3:3">
      <c r="C422">
        <v>29</v>
      </c>
    </row>
    <row r="423" spans="3:3">
      <c r="C423">
        <v>26</v>
      </c>
    </row>
    <row r="424" spans="3:3">
      <c r="C424">
        <v>56</v>
      </c>
    </row>
    <row r="425" spans="3:3">
      <c r="C425">
        <v>38</v>
      </c>
    </row>
    <row r="426" spans="3:3">
      <c r="C426">
        <v>40</v>
      </c>
    </row>
    <row r="427" spans="3:3">
      <c r="C427">
        <v>44</v>
      </c>
    </row>
    <row r="428" spans="3:3">
      <c r="C428">
        <v>31</v>
      </c>
    </row>
    <row r="429" spans="3:3">
      <c r="C429">
        <v>39</v>
      </c>
    </row>
    <row r="430" spans="3:3">
      <c r="C430">
        <v>40</v>
      </c>
    </row>
    <row r="431" spans="3:3">
      <c r="C431">
        <v>38</v>
      </c>
    </row>
    <row r="432" spans="3:3">
      <c r="C432">
        <v>51</v>
      </c>
    </row>
    <row r="433" spans="3:3">
      <c r="C433">
        <v>48</v>
      </c>
    </row>
    <row r="434" spans="3:3">
      <c r="C434">
        <v>33</v>
      </c>
    </row>
    <row r="435" spans="3:3">
      <c r="C435">
        <v>50</v>
      </c>
    </row>
    <row r="436" spans="3:3">
      <c r="C436">
        <v>22</v>
      </c>
    </row>
    <row r="437" spans="3:3">
      <c r="C437">
        <v>36</v>
      </c>
    </row>
    <row r="438" spans="3:3">
      <c r="C438">
        <v>28</v>
      </c>
    </row>
    <row r="439" spans="3:3">
      <c r="C439">
        <v>35</v>
      </c>
    </row>
    <row r="440" spans="3:3">
      <c r="C440">
        <v>29</v>
      </c>
    </row>
    <row r="441" spans="3:3">
      <c r="C441">
        <v>20</v>
      </c>
    </row>
    <row r="442" spans="3:3">
      <c r="C442">
        <v>42</v>
      </c>
    </row>
    <row r="443" spans="3:3">
      <c r="C443">
        <v>31</v>
      </c>
    </row>
    <row r="444" spans="3:3">
      <c r="C444">
        <v>11</v>
      </c>
    </row>
    <row r="445" spans="3:3">
      <c r="C445">
        <v>49</v>
      </c>
    </row>
    <row r="446" spans="3:3">
      <c r="C446">
        <v>43</v>
      </c>
    </row>
    <row r="447" spans="3:3">
      <c r="C447">
        <v>27</v>
      </c>
    </row>
    <row r="448" spans="3:3">
      <c r="C448">
        <v>43</v>
      </c>
    </row>
    <row r="449" spans="3:3">
      <c r="C449">
        <v>37</v>
      </c>
    </row>
    <row r="450" spans="3:3">
      <c r="C450">
        <v>27</v>
      </c>
    </row>
    <row r="451" spans="3:3">
      <c r="C451">
        <v>29</v>
      </c>
    </row>
    <row r="452" spans="3:3">
      <c r="C452">
        <v>37</v>
      </c>
    </row>
    <row r="453" spans="3:3">
      <c r="C453">
        <v>42</v>
      </c>
    </row>
    <row r="454" spans="3:3">
      <c r="C454">
        <v>31</v>
      </c>
    </row>
    <row r="455" spans="3:3">
      <c r="C455">
        <v>31</v>
      </c>
    </row>
    <row r="456" spans="3:3">
      <c r="C456">
        <v>40</v>
      </c>
    </row>
    <row r="457" spans="3:3">
      <c r="C457">
        <v>11</v>
      </c>
    </row>
    <row r="458" spans="3:3">
      <c r="C458">
        <v>31</v>
      </c>
    </row>
    <row r="459" spans="3:3">
      <c r="C459">
        <v>52</v>
      </c>
    </row>
    <row r="460" spans="3:3">
      <c r="C460">
        <v>15</v>
      </c>
    </row>
    <row r="461" spans="3:3">
      <c r="C461">
        <v>35</v>
      </c>
    </row>
    <row r="462" spans="3:3">
      <c r="C462">
        <v>34</v>
      </c>
    </row>
    <row r="463" spans="3:3">
      <c r="C463">
        <v>15</v>
      </c>
    </row>
    <row r="464" spans="3:3">
      <c r="C464">
        <v>36</v>
      </c>
    </row>
    <row r="465" spans="3:3">
      <c r="C465">
        <v>27</v>
      </c>
    </row>
    <row r="466" spans="3:3">
      <c r="C466">
        <v>28</v>
      </c>
    </row>
    <row r="467" spans="3:3">
      <c r="C467">
        <v>27</v>
      </c>
    </row>
    <row r="468" spans="3:3">
      <c r="C468">
        <v>26</v>
      </c>
    </row>
    <row r="469" spans="3:3">
      <c r="C469">
        <v>24</v>
      </c>
    </row>
    <row r="470" spans="3:3">
      <c r="C470">
        <v>52</v>
      </c>
    </row>
    <row r="471" spans="3:3">
      <c r="C471">
        <v>38</v>
      </c>
    </row>
    <row r="472" spans="3:3">
      <c r="C472">
        <v>32</v>
      </c>
    </row>
    <row r="473" spans="3:3">
      <c r="C473">
        <v>29</v>
      </c>
    </row>
    <row r="474" spans="3:3">
      <c r="C474">
        <v>21</v>
      </c>
    </row>
    <row r="475" spans="3:3">
      <c r="C475">
        <v>54</v>
      </c>
    </row>
    <row r="476" spans="3:3">
      <c r="C476">
        <v>22</v>
      </c>
    </row>
    <row r="477" spans="3:3">
      <c r="C477">
        <v>49</v>
      </c>
    </row>
    <row r="478" spans="3:3">
      <c r="C478">
        <v>44</v>
      </c>
    </row>
    <row r="479" spans="3:3">
      <c r="C479">
        <v>44</v>
      </c>
    </row>
    <row r="480" spans="3:3">
      <c r="C480">
        <v>22</v>
      </c>
    </row>
    <row r="481" spans="3:3">
      <c r="C481">
        <v>11</v>
      </c>
    </row>
    <row r="482" spans="3:3">
      <c r="C482">
        <v>39</v>
      </c>
    </row>
    <row r="483" spans="3:3">
      <c r="C483">
        <v>32</v>
      </c>
    </row>
    <row r="484" spans="3:3">
      <c r="C484">
        <v>29</v>
      </c>
    </row>
    <row r="485" spans="3:3">
      <c r="C485">
        <v>25</v>
      </c>
    </row>
    <row r="486" spans="3:3">
      <c r="C486">
        <v>8</v>
      </c>
    </row>
    <row r="487" spans="3:3">
      <c r="C487">
        <v>29</v>
      </c>
    </row>
    <row r="488" spans="3:3">
      <c r="C488">
        <v>26</v>
      </c>
    </row>
    <row r="489" spans="3:3">
      <c r="C489">
        <v>31</v>
      </c>
    </row>
    <row r="490" spans="3:3">
      <c r="C490">
        <v>25</v>
      </c>
    </row>
    <row r="491" spans="3:3">
      <c r="C491">
        <v>43</v>
      </c>
    </row>
    <row r="492" spans="3:3">
      <c r="C492">
        <v>36</v>
      </c>
    </row>
    <row r="493" spans="3:3">
      <c r="C493">
        <v>40</v>
      </c>
    </row>
    <row r="494" spans="3:3">
      <c r="C494">
        <v>38</v>
      </c>
    </row>
    <row r="495" spans="3:3">
      <c r="C495">
        <v>66</v>
      </c>
    </row>
    <row r="496" spans="3:3">
      <c r="C496">
        <v>39</v>
      </c>
    </row>
    <row r="497" spans="3:3">
      <c r="C497">
        <v>39</v>
      </c>
    </row>
    <row r="498" spans="3:3">
      <c r="C498">
        <v>43</v>
      </c>
    </row>
    <row r="499" spans="3:3">
      <c r="C499">
        <v>39</v>
      </c>
    </row>
    <row r="500" spans="3:3">
      <c r="C500">
        <v>44</v>
      </c>
    </row>
    <row r="501" spans="3:3">
      <c r="C501">
        <v>42</v>
      </c>
    </row>
    <row r="502" spans="3:3">
      <c r="C502">
        <v>30</v>
      </c>
    </row>
    <row r="503" spans="3:3">
      <c r="C503">
        <v>47</v>
      </c>
    </row>
    <row r="504" spans="3:3">
      <c r="C504">
        <v>42</v>
      </c>
    </row>
    <row r="505" spans="3:3">
      <c r="C505">
        <v>29</v>
      </c>
    </row>
    <row r="506" spans="3:3">
      <c r="C506">
        <v>50</v>
      </c>
    </row>
    <row r="507" spans="3:3">
      <c r="C507">
        <v>36</v>
      </c>
    </row>
    <row r="508" spans="3:3">
      <c r="C508">
        <v>57</v>
      </c>
    </row>
    <row r="509" spans="3:3">
      <c r="C509">
        <v>42</v>
      </c>
    </row>
    <row r="510" spans="3:3">
      <c r="C510">
        <v>23</v>
      </c>
    </row>
    <row r="511" spans="3:3">
      <c r="C511">
        <v>47</v>
      </c>
    </row>
    <row r="512" spans="3:3">
      <c r="C512">
        <v>43</v>
      </c>
    </row>
    <row r="513" spans="3:3">
      <c r="C513">
        <v>32</v>
      </c>
    </row>
    <row r="514" spans="3:3">
      <c r="C514">
        <v>44</v>
      </c>
    </row>
    <row r="515" spans="3:3">
      <c r="C515">
        <v>34</v>
      </c>
    </row>
    <row r="516" spans="3:3">
      <c r="C516">
        <v>55</v>
      </c>
    </row>
    <row r="517" spans="3:3">
      <c r="C517">
        <v>38</v>
      </c>
    </row>
    <row r="518" spans="3:3">
      <c r="C518">
        <v>31</v>
      </c>
    </row>
    <row r="519" spans="3:3">
      <c r="C519">
        <v>40</v>
      </c>
    </row>
    <row r="520" spans="3:3">
      <c r="C520">
        <v>37</v>
      </c>
    </row>
    <row r="521" spans="3:3">
      <c r="C521">
        <v>36</v>
      </c>
    </row>
    <row r="522" spans="3:3">
      <c r="C522">
        <v>49</v>
      </c>
    </row>
    <row r="523" spans="3:3">
      <c r="C523">
        <v>41</v>
      </c>
    </row>
    <row r="524" spans="3:3">
      <c r="C524">
        <v>30</v>
      </c>
    </row>
    <row r="525" spans="3:3">
      <c r="C525">
        <v>15</v>
      </c>
    </row>
    <row r="526" spans="3:3">
      <c r="C526">
        <v>29</v>
      </c>
    </row>
    <row r="527" spans="3:3">
      <c r="C527">
        <v>28</v>
      </c>
    </row>
    <row r="528" spans="3:3">
      <c r="C528">
        <v>45</v>
      </c>
    </row>
    <row r="529" spans="3:3">
      <c r="C529">
        <v>23</v>
      </c>
    </row>
    <row r="530" spans="3:3">
      <c r="C530">
        <v>35</v>
      </c>
    </row>
    <row r="531" spans="3:3">
      <c r="C531">
        <v>9</v>
      </c>
    </row>
    <row r="532" spans="3:3">
      <c r="C532">
        <v>35</v>
      </c>
    </row>
    <row r="533" spans="3:3">
      <c r="C533">
        <v>53</v>
      </c>
    </row>
    <row r="534" spans="3:3">
      <c r="C534">
        <v>49</v>
      </c>
    </row>
    <row r="535" spans="3:3">
      <c r="C535">
        <v>44</v>
      </c>
    </row>
    <row r="536" spans="3:3">
      <c r="C536">
        <v>39</v>
      </c>
    </row>
    <row r="537" spans="3:3">
      <c r="C537">
        <v>23</v>
      </c>
    </row>
    <row r="538" spans="3:3">
      <c r="C538">
        <v>43</v>
      </c>
    </row>
    <row r="539" spans="3:3">
      <c r="C539">
        <v>37</v>
      </c>
    </row>
    <row r="540" spans="3:3">
      <c r="C540">
        <v>24</v>
      </c>
    </row>
    <row r="541" spans="3:3">
      <c r="C541">
        <v>19</v>
      </c>
    </row>
    <row r="542" spans="3:3">
      <c r="C542">
        <v>39</v>
      </c>
    </row>
    <row r="543" spans="3:3">
      <c r="C543">
        <v>15</v>
      </c>
    </row>
    <row r="544" spans="3:3">
      <c r="C544">
        <v>36</v>
      </c>
    </row>
    <row r="545" spans="3:3">
      <c r="C545">
        <v>33</v>
      </c>
    </row>
    <row r="546" spans="3:3">
      <c r="C546">
        <v>27</v>
      </c>
    </row>
    <row r="547" spans="3:3">
      <c r="C547">
        <v>41</v>
      </c>
    </row>
    <row r="548" spans="3:3">
      <c r="C548">
        <v>37</v>
      </c>
    </row>
    <row r="549" spans="3:3">
      <c r="C549">
        <v>42</v>
      </c>
    </row>
    <row r="550" spans="3:3">
      <c r="C550">
        <v>33</v>
      </c>
    </row>
    <row r="551" spans="3:3">
      <c r="C551">
        <v>22</v>
      </c>
    </row>
    <row r="552" spans="3:3">
      <c r="C552">
        <v>46</v>
      </c>
    </row>
    <row r="553" spans="3:3">
      <c r="C553">
        <v>43</v>
      </c>
    </row>
    <row r="554" spans="3:3">
      <c r="C554">
        <v>33</v>
      </c>
    </row>
    <row r="555" spans="3:3">
      <c r="C555">
        <v>52</v>
      </c>
    </row>
    <row r="556" spans="3:3">
      <c r="C556">
        <v>42</v>
      </c>
    </row>
    <row r="557" spans="3:3">
      <c r="C557">
        <v>30</v>
      </c>
    </row>
    <row r="558" spans="3:3">
      <c r="C558">
        <v>33</v>
      </c>
    </row>
    <row r="559" spans="3:3">
      <c r="C559">
        <v>49</v>
      </c>
    </row>
    <row r="560" spans="3:3">
      <c r="C560">
        <v>38</v>
      </c>
    </row>
    <row r="561" spans="3:3">
      <c r="C561">
        <v>24</v>
      </c>
    </row>
    <row r="562" spans="3:3">
      <c r="C562">
        <v>27</v>
      </c>
    </row>
    <row r="563" spans="3:3">
      <c r="C563">
        <v>24</v>
      </c>
    </row>
    <row r="564" spans="3:3">
      <c r="C564">
        <v>46</v>
      </c>
    </row>
    <row r="565" spans="3:3">
      <c r="C565">
        <v>35</v>
      </c>
    </row>
    <row r="566" spans="3:3">
      <c r="C566">
        <v>39</v>
      </c>
    </row>
    <row r="567" spans="3:3">
      <c r="C567">
        <v>54</v>
      </c>
    </row>
    <row r="568" spans="3:3">
      <c r="C568">
        <v>42</v>
      </c>
    </row>
    <row r="569" spans="3:3">
      <c r="C569">
        <v>21</v>
      </c>
    </row>
    <row r="570" spans="3:3">
      <c r="C570">
        <v>25</v>
      </c>
    </row>
    <row r="571" spans="3:3">
      <c r="C571">
        <v>25</v>
      </c>
    </row>
    <row r="572" spans="3:3">
      <c r="C572">
        <v>40</v>
      </c>
    </row>
    <row r="573" spans="3:3">
      <c r="C573">
        <v>43</v>
      </c>
    </row>
    <row r="574" spans="3:3">
      <c r="C574">
        <v>34</v>
      </c>
    </row>
    <row r="575" spans="3:3">
      <c r="C575">
        <v>36</v>
      </c>
    </row>
    <row r="576" spans="3:3">
      <c r="C576">
        <v>22</v>
      </c>
    </row>
    <row r="577" spans="3:3">
      <c r="C577">
        <v>37</v>
      </c>
    </row>
    <row r="578" spans="3:3">
      <c r="C578">
        <v>35</v>
      </c>
    </row>
    <row r="579" spans="3:3">
      <c r="C579">
        <v>33</v>
      </c>
    </row>
    <row r="580" spans="3:3">
      <c r="C580">
        <v>21</v>
      </c>
    </row>
    <row r="581" spans="3:3">
      <c r="C581">
        <v>18</v>
      </c>
    </row>
    <row r="582" spans="3:3">
      <c r="C582">
        <v>28</v>
      </c>
    </row>
    <row r="583" spans="3:3">
      <c r="C583">
        <v>38</v>
      </c>
    </row>
    <row r="584" spans="3:3">
      <c r="C584">
        <v>32</v>
      </c>
    </row>
    <row r="585" spans="3:3">
      <c r="C585">
        <v>44</v>
      </c>
    </row>
    <row r="586" spans="3:3">
      <c r="C586">
        <v>22</v>
      </c>
    </row>
    <row r="587" spans="3:3">
      <c r="C587">
        <v>19</v>
      </c>
    </row>
    <row r="588" spans="3:3">
      <c r="C588">
        <v>43</v>
      </c>
    </row>
    <row r="589" spans="3:3">
      <c r="C589">
        <v>30</v>
      </c>
    </row>
    <row r="590" spans="3:3">
      <c r="C590">
        <v>25</v>
      </c>
    </row>
    <row r="591" spans="3:3">
      <c r="C591">
        <v>45</v>
      </c>
    </row>
    <row r="592" spans="3:3">
      <c r="C592">
        <v>15</v>
      </c>
    </row>
    <row r="593" spans="3:3">
      <c r="C593">
        <v>32</v>
      </c>
    </row>
    <row r="594" spans="3:3">
      <c r="C594">
        <v>26</v>
      </c>
    </row>
    <row r="595" spans="3:3">
      <c r="C595">
        <v>48</v>
      </c>
    </row>
    <row r="596" spans="3:3">
      <c r="C596">
        <v>32</v>
      </c>
    </row>
    <row r="597" spans="3:3">
      <c r="C597">
        <v>56</v>
      </c>
    </row>
    <row r="598" spans="3:3">
      <c r="C598">
        <v>32</v>
      </c>
    </row>
    <row r="599" spans="3:3">
      <c r="C599">
        <v>26</v>
      </c>
    </row>
    <row r="600" spans="3:3">
      <c r="C600">
        <v>34</v>
      </c>
    </row>
    <row r="601" spans="3:3">
      <c r="C601">
        <v>30</v>
      </c>
    </row>
    <row r="602" spans="3:3">
      <c r="C602">
        <v>25</v>
      </c>
    </row>
    <row r="603" spans="3:3">
      <c r="C603">
        <v>39</v>
      </c>
    </row>
    <row r="604" spans="3:3">
      <c r="C604">
        <v>35</v>
      </c>
    </row>
    <row r="605" spans="3:3">
      <c r="C605">
        <v>40</v>
      </c>
    </row>
    <row r="606" spans="3:3">
      <c r="C606">
        <v>23</v>
      </c>
    </row>
    <row r="607" spans="3:3">
      <c r="C607">
        <v>26</v>
      </c>
    </row>
    <row r="608" spans="3:3">
      <c r="C608">
        <v>9</v>
      </c>
    </row>
    <row r="609" spans="3:3">
      <c r="C609">
        <v>57</v>
      </c>
    </row>
    <row r="610" spans="3:3">
      <c r="C610">
        <v>46</v>
      </c>
    </row>
    <row r="611" spans="3:3">
      <c r="C611">
        <v>23</v>
      </c>
    </row>
    <row r="612" spans="3:3">
      <c r="C612">
        <v>46</v>
      </c>
    </row>
    <row r="613" spans="3:3">
      <c r="C613">
        <v>32</v>
      </c>
    </row>
    <row r="614" spans="3:3">
      <c r="C614">
        <v>35</v>
      </c>
    </row>
    <row r="615" spans="3:3">
      <c r="C615">
        <v>31</v>
      </c>
    </row>
    <row r="616" spans="3:3">
      <c r="C616">
        <v>43</v>
      </c>
    </row>
    <row r="617" spans="3:3">
      <c r="C617">
        <v>28</v>
      </c>
    </row>
    <row r="618" spans="3:3">
      <c r="C618">
        <v>50</v>
      </c>
    </row>
    <row r="619" spans="3:3">
      <c r="C619">
        <v>36</v>
      </c>
    </row>
    <row r="620" spans="3:3">
      <c r="C620">
        <v>27</v>
      </c>
    </row>
    <row r="621" spans="3:3">
      <c r="C621">
        <v>58</v>
      </c>
    </row>
    <row r="622" spans="3:3">
      <c r="C622">
        <v>20</v>
      </c>
    </row>
    <row r="623" spans="3:3">
      <c r="C623">
        <v>17</v>
      </c>
    </row>
    <row r="624" spans="3:3">
      <c r="C624">
        <v>46</v>
      </c>
    </row>
    <row r="625" spans="3:3">
      <c r="C625">
        <v>30</v>
      </c>
    </row>
    <row r="626" spans="3:3">
      <c r="C626">
        <v>18</v>
      </c>
    </row>
    <row r="627" spans="3:3">
      <c r="C627">
        <v>43</v>
      </c>
    </row>
    <row r="628" spans="3:3">
      <c r="C628">
        <v>36</v>
      </c>
    </row>
    <row r="629" spans="3:3">
      <c r="C629">
        <v>36</v>
      </c>
    </row>
    <row r="630" spans="3:3">
      <c r="C630">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NSMQ DATA</vt:lpstr>
      <vt:lpstr>PIVOT SUMMARY</vt:lpstr>
      <vt:lpstr>DASHBOARD</vt:lpstr>
      <vt:lpstr>StatTests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Richmond T(DA-COHORT6)</dc:creator>
  <cp:lastModifiedBy>Janet G(DA-COHORT6)</cp:lastModifiedBy>
  <dcterms:created xsi:type="dcterms:W3CDTF">2025-10-03T07:56:05Z</dcterms:created>
  <dcterms:modified xsi:type="dcterms:W3CDTF">2025-10-10T22:09:21Z</dcterms:modified>
</cp:coreProperties>
</file>